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uweacuk-my.sharepoint.com/personal/ian5_smith_uwe_ac_uk/Documents/teaching/Economics 2025-26/PD materials level 4/sessions/PD4 - skills and planning/"/>
    </mc:Choice>
  </mc:AlternateContent>
  <xr:revisionPtr revIDLastSave="1" documentId="8_{F41B6298-106F-4343-8CD4-DFE8F03280B1}" xr6:coauthVersionLast="47" xr6:coauthVersionMax="47" xr10:uidLastSave="{F945E292-E7E4-41F3-9746-CE1BFEFFA28B}"/>
  <bookViews>
    <workbookView xWindow="-120" yWindow="-16320" windowWidth="29040" windowHeight="15720" activeTab="5" xr2:uid="{4AAC4E6C-FC0F-439F-86EB-BFE6B8B38FFD}"/>
  </bookViews>
  <sheets>
    <sheet name="definitions" sheetId="4" r:id="rId1"/>
    <sheet name="initial assessment" sheetId="6" r:id="rId2"/>
    <sheet name="Self-assessment" sheetId="2" r:id="rId3"/>
    <sheet name="Job Description" sheetId="7" r:id="rId4"/>
    <sheet name="Assessment of your Programme" sheetId="9" r:id="rId5"/>
    <sheet name="Results" sheetId="3"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 i="2" l="1"/>
  <c r="O10" i="3"/>
  <c r="O9" i="3"/>
  <c r="O8" i="3"/>
  <c r="O7" i="3"/>
  <c r="P6" i="3"/>
  <c r="O6" i="3"/>
  <c r="O5" i="3"/>
  <c r="O4" i="3"/>
  <c r="F41" i="9"/>
  <c r="G41" i="9" s="1"/>
  <c r="F40" i="9"/>
  <c r="G40" i="9" s="1"/>
  <c r="F39" i="9"/>
  <c r="G39" i="9" s="1"/>
  <c r="F38" i="9"/>
  <c r="G38" i="9" s="1"/>
  <c r="F37" i="9"/>
  <c r="G37" i="9" s="1"/>
  <c r="F36" i="9"/>
  <c r="G36" i="9" s="1"/>
  <c r="F35" i="9"/>
  <c r="G35" i="9" s="1"/>
  <c r="F34" i="9"/>
  <c r="G34" i="9" s="1"/>
  <c r="F33" i="9"/>
  <c r="G33" i="9" s="1"/>
  <c r="F32" i="9"/>
  <c r="G32" i="9" s="1"/>
  <c r="F31" i="9"/>
  <c r="G31" i="9" s="1"/>
  <c r="F30" i="9"/>
  <c r="G30" i="9" s="1"/>
  <c r="F29" i="9"/>
  <c r="G29" i="9" s="1"/>
  <c r="F28" i="9"/>
  <c r="G28" i="9" s="1"/>
  <c r="F27" i="9"/>
  <c r="G27" i="9" s="1"/>
  <c r="F26" i="9"/>
  <c r="G26" i="9" s="1"/>
  <c r="F25" i="9"/>
  <c r="G25" i="9" s="1"/>
  <c r="F24" i="9"/>
  <c r="G24" i="9" s="1"/>
  <c r="F23" i="9"/>
  <c r="G23" i="9" s="1"/>
  <c r="F22" i="9"/>
  <c r="G22" i="9" s="1"/>
  <c r="F21" i="9"/>
  <c r="G21" i="9" s="1"/>
  <c r="F20" i="9"/>
  <c r="G20" i="9" s="1"/>
  <c r="F19" i="9"/>
  <c r="G19" i="9" s="1"/>
  <c r="F18" i="9"/>
  <c r="G18" i="9" s="1"/>
  <c r="F17" i="9"/>
  <c r="G17" i="9" s="1"/>
  <c r="F16" i="9"/>
  <c r="G16" i="9" s="1"/>
  <c r="F15" i="9"/>
  <c r="G15" i="9" s="1"/>
  <c r="F14" i="9"/>
  <c r="G14" i="9" s="1"/>
  <c r="F13" i="9"/>
  <c r="G13" i="9" s="1"/>
  <c r="F12" i="9"/>
  <c r="G12" i="9" s="1"/>
  <c r="F11" i="9"/>
  <c r="G11" i="9" s="1"/>
  <c r="F10" i="9"/>
  <c r="G10" i="9" s="1"/>
  <c r="F9" i="9"/>
  <c r="G9" i="9" s="1"/>
  <c r="F8" i="9"/>
  <c r="G8" i="9" s="1"/>
  <c r="F7" i="9"/>
  <c r="G7" i="9" s="1"/>
  <c r="F6" i="9"/>
  <c r="G6" i="9" s="1"/>
  <c r="F5" i="9"/>
  <c r="G5" i="9" s="1"/>
  <c r="F4" i="9"/>
  <c r="G4" i="9" s="1"/>
  <c r="F3" i="9"/>
  <c r="G3" i="9" s="1"/>
  <c r="F41" i="7"/>
  <c r="G41" i="7" s="1"/>
  <c r="F40" i="7"/>
  <c r="G40" i="7" s="1"/>
  <c r="F39" i="7"/>
  <c r="G39" i="7" s="1"/>
  <c r="F38" i="7"/>
  <c r="G38" i="7" s="1"/>
  <c r="F37" i="7"/>
  <c r="G37" i="7" s="1"/>
  <c r="F36" i="7"/>
  <c r="G36" i="7" s="1"/>
  <c r="F35" i="7"/>
  <c r="G35" i="7" s="1"/>
  <c r="F34" i="7"/>
  <c r="G34" i="7" s="1"/>
  <c r="F33" i="7"/>
  <c r="G33" i="7" s="1"/>
  <c r="F32" i="7"/>
  <c r="G32" i="7" s="1"/>
  <c r="F31" i="7"/>
  <c r="G31" i="7" s="1"/>
  <c r="F30" i="7"/>
  <c r="G30" i="7" s="1"/>
  <c r="F29" i="7"/>
  <c r="G29" i="7" s="1"/>
  <c r="F28" i="7"/>
  <c r="G28" i="7" s="1"/>
  <c r="F27" i="7"/>
  <c r="G27" i="7" s="1"/>
  <c r="F26" i="7"/>
  <c r="G26" i="7" s="1"/>
  <c r="F25" i="7"/>
  <c r="G25" i="7" s="1"/>
  <c r="F24" i="7"/>
  <c r="G24" i="7" s="1"/>
  <c r="F23" i="7"/>
  <c r="G23" i="7" s="1"/>
  <c r="F22" i="7"/>
  <c r="G22" i="7" s="1"/>
  <c r="F21" i="7"/>
  <c r="G21" i="7" s="1"/>
  <c r="F20" i="7"/>
  <c r="G20" i="7" s="1"/>
  <c r="F19" i="7"/>
  <c r="G19" i="7" s="1"/>
  <c r="F18" i="7"/>
  <c r="G18" i="7" s="1"/>
  <c r="F17" i="7"/>
  <c r="G17" i="7" s="1"/>
  <c r="F16" i="7"/>
  <c r="G16" i="7" s="1"/>
  <c r="F15" i="7"/>
  <c r="G15" i="7" s="1"/>
  <c r="F14" i="7"/>
  <c r="G14" i="7" s="1"/>
  <c r="F13" i="7"/>
  <c r="G13" i="7" s="1"/>
  <c r="F12" i="7"/>
  <c r="G12" i="7" s="1"/>
  <c r="F11" i="7"/>
  <c r="G11" i="7" s="1"/>
  <c r="F10" i="7"/>
  <c r="G10" i="7" s="1"/>
  <c r="F9" i="7"/>
  <c r="G9" i="7" s="1"/>
  <c r="F8" i="7"/>
  <c r="G8" i="7" s="1"/>
  <c r="F7" i="7"/>
  <c r="G7" i="7" s="1"/>
  <c r="F6" i="7"/>
  <c r="G6" i="7" s="1"/>
  <c r="F5" i="7"/>
  <c r="G5" i="7" s="1"/>
  <c r="F4" i="7"/>
  <c r="G4" i="7" s="1"/>
  <c r="F3" i="7"/>
  <c r="G3" i="7" s="1"/>
  <c r="F41" i="2"/>
  <c r="G41" i="2" s="1"/>
  <c r="F37" i="2"/>
  <c r="G37" i="2" s="1"/>
  <c r="F35" i="2"/>
  <c r="F31" i="2"/>
  <c r="F30" i="2"/>
  <c r="F18" i="2"/>
  <c r="F11" i="2"/>
  <c r="F10" i="2"/>
  <c r="F9" i="2"/>
  <c r="F8" i="2"/>
  <c r="G32" i="2" s="1"/>
  <c r="F7" i="2"/>
  <c r="F6" i="2"/>
  <c r="F40" i="2"/>
  <c r="G40" i="2" s="1"/>
  <c r="F39" i="2"/>
  <c r="F24" i="2"/>
  <c r="F15" i="2"/>
  <c r="F3" i="2"/>
  <c r="F34" i="2"/>
  <c r="G34" i="2" s="1"/>
  <c r="F26" i="2"/>
  <c r="F14" i="2"/>
  <c r="F28" i="2"/>
  <c r="F25" i="2"/>
  <c r="G25" i="2" s="1"/>
  <c r="F22" i="2"/>
  <c r="F21" i="2"/>
  <c r="F16" i="2"/>
  <c r="F19" i="2"/>
  <c r="F13" i="2"/>
  <c r="F36" i="2"/>
  <c r="F33" i="2"/>
  <c r="F29" i="2"/>
  <c r="F23" i="2"/>
  <c r="F17" i="2"/>
  <c r="F38" i="2"/>
  <c r="F32" i="2"/>
  <c r="F27" i="2"/>
  <c r="F20" i="2"/>
  <c r="G20" i="2" s="1"/>
  <c r="F12" i="2"/>
  <c r="G12" i="2" s="1"/>
  <c r="F5" i="2"/>
  <c r="J5" i="3"/>
  <c r="J4" i="6"/>
  <c r="J4" i="3" s="1"/>
  <c r="I10" i="6"/>
  <c r="J10" i="6" s="1"/>
  <c r="J10" i="3" s="1"/>
  <c r="I9" i="6"/>
  <c r="J9" i="6" s="1"/>
  <c r="J9" i="3" s="1"/>
  <c r="I8" i="6"/>
  <c r="J8" i="6" s="1"/>
  <c r="J8" i="3" s="1"/>
  <c r="I7" i="6"/>
  <c r="J7" i="6" s="1"/>
  <c r="J7" i="3" s="1"/>
  <c r="I6" i="6"/>
  <c r="J6" i="6" s="1"/>
  <c r="J6" i="3" s="1"/>
  <c r="I5" i="6"/>
  <c r="J5" i="6" s="1"/>
  <c r="I4" i="6"/>
  <c r="D5" i="3"/>
  <c r="D10" i="3"/>
  <c r="D9" i="3"/>
  <c r="D8" i="3"/>
  <c r="D7" i="3"/>
  <c r="D6" i="3"/>
  <c r="D4" i="3"/>
  <c r="G33" i="2" l="1"/>
  <c r="G31" i="2"/>
  <c r="G30" i="2"/>
  <c r="G28" i="2"/>
  <c r="G24" i="2"/>
  <c r="G9" i="3" s="1"/>
  <c r="G23" i="2"/>
  <c r="G18" i="2"/>
  <c r="G17" i="2"/>
  <c r="G16" i="2"/>
  <c r="G15" i="2"/>
  <c r="G14" i="2"/>
  <c r="G4" i="2"/>
  <c r="G36" i="2"/>
  <c r="G5" i="2"/>
  <c r="G19" i="2"/>
  <c r="G38" i="2"/>
  <c r="G6" i="2"/>
  <c r="G39" i="2"/>
  <c r="G7" i="2"/>
  <c r="G21" i="2"/>
  <c r="E7" i="3" s="1"/>
  <c r="F7" i="3" s="1"/>
  <c r="G35" i="2"/>
  <c r="G13" i="2"/>
  <c r="G8" i="2"/>
  <c r="G22" i="2"/>
  <c r="G9" i="2"/>
  <c r="H10" i="3" s="1"/>
  <c r="G10" i="2"/>
  <c r="G11" i="2"/>
  <c r="G26" i="2"/>
  <c r="R8" i="3" s="1"/>
  <c r="G27" i="2"/>
  <c r="G29" i="2"/>
  <c r="G3" i="2"/>
  <c r="P9" i="3"/>
  <c r="Q9" i="3" s="1"/>
  <c r="P4" i="3"/>
  <c r="Q4" i="3" s="1"/>
  <c r="P10" i="3"/>
  <c r="Q10" i="3" s="1"/>
  <c r="P8" i="3"/>
  <c r="Q8" i="3" s="1"/>
  <c r="P7" i="3"/>
  <c r="Q7" i="3" s="1"/>
  <c r="P5" i="3"/>
  <c r="Q5" i="3" s="1"/>
  <c r="E9" i="3"/>
  <c r="F9" i="3" s="1"/>
  <c r="Q6" i="3"/>
  <c r="G5" i="3" l="1"/>
  <c r="R9" i="3"/>
  <c r="S9" i="3"/>
  <c r="R5" i="3"/>
  <c r="E5" i="3"/>
  <c r="F5" i="3" s="1"/>
  <c r="H5" i="3"/>
  <c r="S5" i="3"/>
  <c r="E4" i="3"/>
  <c r="F4" i="3" s="1"/>
  <c r="S7" i="3"/>
  <c r="S6" i="3"/>
  <c r="H6" i="3"/>
  <c r="G6" i="3"/>
  <c r="E6" i="3"/>
  <c r="F6" i="3" s="1"/>
  <c r="R6" i="3"/>
  <c r="S10" i="3"/>
  <c r="G10" i="3"/>
  <c r="E10" i="3"/>
  <c r="F10" i="3" s="1"/>
  <c r="H4" i="3"/>
  <c r="S4" i="3"/>
  <c r="H9" i="3"/>
  <c r="G8" i="3"/>
  <c r="R4" i="3"/>
  <c r="H8" i="3"/>
  <c r="R10" i="3"/>
  <c r="G7" i="3"/>
  <c r="S8" i="3"/>
  <c r="E8" i="3"/>
  <c r="F8" i="3" s="1"/>
  <c r="G4" i="3"/>
  <c r="R7" i="3"/>
  <c r="H7" i="3"/>
</calcChain>
</file>

<file path=xl/sharedStrings.xml><?xml version="1.0" encoding="utf-8"?>
<sst xmlns="http://schemas.openxmlformats.org/spreadsheetml/2006/main" count="530" uniqueCount="136">
  <si>
    <t>Intellectual ability</t>
  </si>
  <si>
    <t>Ability to learn quickly and easily</t>
  </si>
  <si>
    <t>Ability to observe, gather, select, and evaluate facts</t>
  </si>
  <si>
    <t>Good judgment</t>
  </si>
  <si>
    <t>Inductive and deductive reasoning</t>
  </si>
  <si>
    <t>Ability to synthesize and generalize</t>
  </si>
  <si>
    <t>Creative imagination and original thinking</t>
  </si>
  <si>
    <t>Ability to understand people and work with them</t>
  </si>
  <si>
    <t>Respect and tolerance for other people</t>
  </si>
  <si>
    <t>Ability to anticipate and evaluate human reactions</t>
  </si>
  <si>
    <t>Ability to gain trust and respect</t>
  </si>
  <si>
    <t>Courtesy and good manners</t>
  </si>
  <si>
    <t>Ability to listen</t>
  </si>
  <si>
    <t>Facility in oral and written communication</t>
  </si>
  <si>
    <t>Ability to share knowledge, teach, and train people</t>
  </si>
  <si>
    <t>Ability to persuade and motivate</t>
  </si>
  <si>
    <t>Intellectual and emotional maturity</t>
  </si>
  <si>
    <t>Stability of behaviour and action</t>
  </si>
  <si>
    <t>Independence in drawing unbiased conclusions</t>
  </si>
  <si>
    <t>Ability to withstand pressures, and live with frustrations and uncertainties</t>
  </si>
  <si>
    <t>Ability to act with poise, in a calm and objective manner</t>
  </si>
  <si>
    <t>Flexibility and adaptability to changed conditions</t>
  </si>
  <si>
    <t>Personal drive and initiative</t>
  </si>
  <si>
    <t>Right degree of self-confidence</t>
  </si>
  <si>
    <t>Healthy ambition</t>
  </si>
  <si>
    <t>Entrepreneurial spirit</t>
  </si>
  <si>
    <t>Courage, initiative, and perseverance in action</t>
  </si>
  <si>
    <t>Ethics and integrity</t>
  </si>
  <si>
    <t>Genuine desire to help others</t>
  </si>
  <si>
    <t>Extreme honesty</t>
  </si>
  <si>
    <t>Ability to recognize the limitations of one's competence</t>
  </si>
  <si>
    <t>Ability to admit mistakes and learn from failure</t>
  </si>
  <si>
    <t>area</t>
  </si>
  <si>
    <t>int</t>
  </si>
  <si>
    <t>cr</t>
  </si>
  <si>
    <t>is</t>
  </si>
  <si>
    <t>co</t>
  </si>
  <si>
    <t>re</t>
  </si>
  <si>
    <t>Ability to communicate</t>
  </si>
  <si>
    <t>eth</t>
  </si>
  <si>
    <t>sa</t>
  </si>
  <si>
    <t>Instructions</t>
  </si>
  <si>
    <t>3. Putting 1 in the column for the quality</t>
  </si>
  <si>
    <t>Quality</t>
  </si>
  <si>
    <t>4. Complete for all of the questions</t>
  </si>
  <si>
    <t>5. when completed (and not before) review the results on the Results Sheet</t>
  </si>
  <si>
    <t>Mean</t>
  </si>
  <si>
    <t>Max</t>
  </si>
  <si>
    <t>Min</t>
  </si>
  <si>
    <t>Category</t>
  </si>
  <si>
    <t>a general mental ability for reasoning, planning, solving problems, think abstractly, comprehending complex ideas, and learning</t>
  </si>
  <si>
    <t>A quick learner is someone who can understand and process information in a relatively short space of time</t>
  </si>
  <si>
    <t>using all of the senses, as appropriate, to find out about the characteristics, properties and attributes of objects, places and events, critically evaulate, apply reasoning and critical thinking to diverse situations and circumstances</t>
  </si>
  <si>
    <t>make decisions that are beneficial and well-informed. Considers, risk, consequences, impacts and weighing up options to aviod harmful outcomes.</t>
  </si>
  <si>
    <t>Applying reasoning either specific to general or general to specific and abductive, knowing when and where to apply which type of reasoning and when others apply reasoning</t>
  </si>
  <si>
    <t>bringing information together from a variety of sources and forming new ideas about the topics and using prior knowledge, skill and understanding to infer possible outcomes.</t>
  </si>
  <si>
    <t>form original ideas and mental images, while original thinking is the ability to come up with unique solutions to problems. the ability to create new ideas or solutions without prior training. It involves building on existing ideas to create new perspectives</t>
  </si>
  <si>
    <t>empathy, active listening, patience, communication and collaboration skills. People skills, getting along, Emotional intelligence</t>
  </si>
  <si>
    <t>treating them with dignity and valuing their unique qualities and accepting that people can have different beliefs, ideas, and values.</t>
  </si>
  <si>
    <t>predict that an event will lead to a future state—emotional, mental, physiological and phsycal and then assess and judge the possible reactions of others.</t>
  </si>
  <si>
    <t>he capacity to be dependable, honest, and accountable, and to demonstrate integrity and expertise. Accountability, honesty, consistency, supportive, open communication, transparancy and reliability.</t>
  </si>
  <si>
    <t>The capacity to covey messages to others through speaking, writing, reading, listening, reflection using verbal and non-verbal elements to achive the goals of communicating</t>
  </si>
  <si>
    <t>the process of receiving, constructing meaning from and responding to spoken and/or nonverbal messages and confirming common understanding</t>
  </si>
  <si>
    <t>articulate thoughts and express ideas effectively using oral, written and non-verbal communication skills</t>
  </si>
  <si>
    <t>foster learning in others sharing knowledge and expertise, guiding and nurturing others in their learning</t>
  </si>
  <si>
    <t>the ability to influence other people's thoughts and opinions using convincing arguments and facts; and to encourage and inspireothers to boost productivity and improve work quality</t>
  </si>
  <si>
    <t>Intellectual maturity is the ability to use logic and reason to learn and solve problems. Emotional maturity is the ability to understand and manage emotions, especially in stressful or conflicting situations</t>
  </si>
  <si>
    <t>consistency of behaviour (attitude) and action (deed or doing something). Somewhat reliable</t>
  </si>
  <si>
    <t>Drawing on evidence and knowledge to come to some conclusion or recommendation recognising and addressing possible biases that may effect such outcome</t>
  </si>
  <si>
    <t>Resilence ability to withstand and bounce back from difficult or tricky situations or circumstances and deal with own and others frustrations and uncertainties</t>
  </si>
  <si>
    <t>Composure, level headedness, calmness in the face of aversity, remaining constructive and objective</t>
  </si>
  <si>
    <t>The ability to do what needs to be done without being prompted by others or the willingness to take a fresh approach</t>
  </si>
  <si>
    <t>a realistic sense of your abilities and a positive belief in yourself. Feeling of trust in yourself that allows you to take on challenges and succeed. knowing strengths and weakness well, and have a positive view of yourself. You set realistic expectations and goals, communicate assertively, and can handle criticism well.</t>
  </si>
  <si>
    <t>a strong desire to achieve goals in a way that's constructive and balanced with all aspects of one's life</t>
  </si>
  <si>
    <t>embodiment of a tenacious spirit that refuses to surrender in the face of obstacles, willing to face discomfort and fear. Physical, moral, social, interlectual and emotional courage.</t>
  </si>
  <si>
    <t>acting with the greater good in mind, doing what is best. It is principled, honest and just doing the right thing at the right time with the right things.</t>
  </si>
  <si>
    <t>adherence to the facts, fairness and straightforwardness of conduct and thought.</t>
  </si>
  <si>
    <t>Knowing where your knowledge, skills and abilities are limited and how they apply to doing or achiving something successfully or efficently</t>
  </si>
  <si>
    <t>to understand that failure and mistakes are opportunities for learning, feedback and even creativity. Learning from consequential events or circumstances, having a growth mindset</t>
  </si>
  <si>
    <t>Polite behaviour, action or remark; shows respects towards feelings and sentiments of others living in the surroundings</t>
  </si>
  <si>
    <t>skills and abilities that allow people to change their plans, ideas, and priorities to fit new or changing circumstances. Allowing for contingencies and ability to address situations or circumstances as they occur</t>
  </si>
  <si>
    <t>proactive, Visonary, taking risks, and seeking out new opportunities. It's a way of thinking that drives people to create change and improve the future.</t>
  </si>
  <si>
    <t>when it is motivated by a desire to benefit someone other than oneself for that person's sake</t>
  </si>
  <si>
    <t>Element</t>
  </si>
  <si>
    <t>Descriptor</t>
  </si>
  <si>
    <t>Guide on what it means in this context</t>
  </si>
  <si>
    <t>Comments</t>
  </si>
  <si>
    <t>Justification</t>
  </si>
  <si>
    <t>A</t>
  </si>
  <si>
    <t>C</t>
  </si>
  <si>
    <t>F</t>
  </si>
  <si>
    <t>E</t>
  </si>
  <si>
    <t>B</t>
  </si>
  <si>
    <t>D</t>
  </si>
  <si>
    <t>Professionalism &amp; Organisational Skills</t>
  </si>
  <si>
    <t>Feedback, Development &amp; Career Management</t>
  </si>
  <si>
    <t>Collaboration &amp; Ways of Working</t>
  </si>
  <si>
    <t>Stakeholder &amp; Customer Awareness</t>
  </si>
  <si>
    <t>Research &amp; Delivery Skills</t>
  </si>
  <si>
    <t>Competences/Capabilities as listed by Canadian Management Consultancy Competence Framework</t>
  </si>
  <si>
    <t>https://www.cmc-canada.ca/web/default/files/CMC_Competency_Framework_2018.pdf</t>
  </si>
  <si>
    <t>Economic reasoning (micro/ macro fundamentals)</t>
  </si>
  <si>
    <t>Policy analysis &amp; trade-off thinking</t>
  </si>
  <si>
    <t>Econometrics &amp; causal inference</t>
  </si>
  <si>
    <t>Forecasting / scenario analysis</t>
  </si>
  <si>
    <t>Data handling (cleaning, structuring datasets)</t>
  </si>
  <si>
    <t>Tools (Excel + R/Python/Stata/AI tools)</t>
  </si>
  <si>
    <t>Data visualisation &amp; dashboards</t>
  </si>
  <si>
    <t>A1</t>
  </si>
  <si>
    <t>tech</t>
  </si>
  <si>
    <t>Economic Skills</t>
  </si>
  <si>
    <t>2. in the columns headed 1 to 4 for the question rank yourself by</t>
  </si>
  <si>
    <t>your ranking</t>
  </si>
  <si>
    <t>Economics Thinking Capability</t>
  </si>
  <si>
    <t>I am developing this</t>
  </si>
  <si>
    <t>I am aware of this</t>
  </si>
  <si>
    <t>I am competent in this</t>
  </si>
  <si>
    <t>I am strong in this</t>
  </si>
  <si>
    <t>I don't know what this is</t>
  </si>
  <si>
    <t>Are these competences and skills covered by any module across your first year?</t>
  </si>
  <si>
    <t>Outline the modules and the tasks in those modules where you either learnt or developed the skill and competence you claim</t>
  </si>
  <si>
    <t>Job does not require this</t>
  </si>
  <si>
    <t>job requires me to be aware of this</t>
  </si>
  <si>
    <t>job requires me to be developing this</t>
  </si>
  <si>
    <t>job requires me to be competent in this</t>
  </si>
  <si>
    <t>job requires me to be strongly competent in this</t>
  </si>
  <si>
    <t>not covered at all on my programme</t>
  </si>
  <si>
    <t>I am aware of this on my programme (but I have not done it)</t>
  </si>
  <si>
    <t>I am developing this with modules on my programme</t>
  </si>
  <si>
    <t>I am competent in this through work on my programme</t>
  </si>
  <si>
    <t>The programme ensures strong competency in this</t>
  </si>
  <si>
    <t>Strategies and actions in relation to my employability and career planning</t>
  </si>
  <si>
    <t>Your personal reflections on the different capability assessments (of myself, the job description and my programme)</t>
  </si>
  <si>
    <t>ASSESSMENT OF JOB DESCRIPTION FOR GRADUATE ECONOMIST</t>
  </si>
  <si>
    <t>SELF-ASSESSMENT BASED ON LONGER ASSESSMENT MATRIX</t>
  </si>
  <si>
    <t>3. Putting x in the column for the quality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</si>
</sst>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scheme val="minor"/>
    </font>
    <font>
      <sz val="11"/>
      <color theme="1"/>
      <name val="Calibri"/>
      <family val="2"/>
      <scheme val="minor"/>
    </font>
    <font>
      <sz val="11"/>
      <color rgb="FF9C5700"/>
      <name val="Calibri"/>
      <family val="2"/>
      <scheme val="minor"/>
    </font>
    <font>
      <sz val="11"/>
      <color rgb="FF3F3F76"/>
      <name val="Calibri"/>
      <family val="2"/>
      <scheme val="minor"/>
    </font>
    <font>
      <b/>
      <sz val="11"/>
      <color rgb="FFFA7D00"/>
      <name val="Calibri"/>
      <family val="2"/>
      <scheme val="minor"/>
    </font>
    <font>
      <b/>
      <sz val="11"/>
      <color theme="1"/>
      <name val="Calibri"/>
      <family val="2"/>
      <scheme val="minor"/>
    </font>
    <font>
      <b/>
      <sz val="11"/>
      <color theme="0" tint="-4.9989318521683403E-2"/>
      <name val="Calibri"/>
      <family val="2"/>
      <scheme val="minor"/>
    </font>
    <font>
      <sz val="11"/>
      <color rgb="FF9C0006"/>
      <name val="Calibri"/>
      <family val="2"/>
      <scheme val="minor"/>
    </font>
    <font>
      <u/>
      <sz val="11"/>
      <color theme="10"/>
      <name val="Calibri"/>
      <family val="2"/>
      <scheme val="minor"/>
    </font>
    <font>
      <b/>
      <sz val="12"/>
      <color theme="1"/>
      <name val="Aptos"/>
      <family val="2"/>
    </font>
  </fonts>
  <fills count="7">
    <fill>
      <patternFill patternType="none"/>
    </fill>
    <fill>
      <patternFill patternType="gray125"/>
    </fill>
    <fill>
      <patternFill patternType="solid">
        <fgColor rgb="FFFFEB9C"/>
      </patternFill>
    </fill>
    <fill>
      <patternFill patternType="solid">
        <fgColor rgb="FFFFCC99"/>
      </patternFill>
    </fill>
    <fill>
      <patternFill patternType="solid">
        <fgColor rgb="FFF2F2F2"/>
      </patternFill>
    </fill>
    <fill>
      <patternFill patternType="solid">
        <fgColor rgb="FFFFFFCC"/>
      </patternFill>
    </fill>
    <fill>
      <patternFill patternType="solid">
        <fgColor rgb="FFFFC7CE"/>
      </patternFill>
    </fill>
  </fills>
  <borders count="54">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rgb="FF7F7F7F"/>
      </left>
      <right style="medium">
        <color indexed="64"/>
      </right>
      <top style="thin">
        <color rgb="FF7F7F7F"/>
      </top>
      <bottom style="thin">
        <color rgb="FF7F7F7F"/>
      </bottom>
      <diagonal/>
    </border>
    <border>
      <left style="thin">
        <color indexed="64"/>
      </left>
      <right style="thin">
        <color indexed="64"/>
      </right>
      <top style="thin">
        <color indexed="64"/>
      </top>
      <bottom style="medium">
        <color indexed="64"/>
      </bottom>
      <diagonal/>
    </border>
    <border>
      <left style="thin">
        <color rgb="FF7F7F7F"/>
      </left>
      <right style="thin">
        <color rgb="FF7F7F7F"/>
      </right>
      <top style="thin">
        <color rgb="FF7F7F7F"/>
      </top>
      <bottom style="medium">
        <color indexed="64"/>
      </bottom>
      <diagonal/>
    </border>
    <border>
      <left style="thin">
        <color rgb="FF7F7F7F"/>
      </left>
      <right style="medium">
        <color indexed="64"/>
      </right>
      <top style="thin">
        <color rgb="FF7F7F7F"/>
      </top>
      <bottom style="medium">
        <color indexed="64"/>
      </bottom>
      <diagonal/>
    </border>
    <border>
      <left style="thin">
        <color indexed="64"/>
      </left>
      <right style="thin">
        <color indexed="64"/>
      </right>
      <top style="medium">
        <color indexed="64"/>
      </top>
      <bottom/>
      <diagonal/>
    </border>
    <border>
      <left style="thin">
        <color indexed="64"/>
      </left>
      <right/>
      <top style="thin">
        <color indexed="64"/>
      </top>
      <bottom style="medium">
        <color indexed="64"/>
      </bottom>
      <diagonal/>
    </border>
    <border>
      <left style="medium">
        <color indexed="64"/>
      </left>
      <right style="thin">
        <color rgb="FF7F7F7F"/>
      </right>
      <top style="thin">
        <color rgb="FF7F7F7F"/>
      </top>
      <bottom style="thin">
        <color rgb="FF7F7F7F"/>
      </bottom>
      <diagonal/>
    </border>
    <border>
      <left style="medium">
        <color indexed="64"/>
      </left>
      <right style="thin">
        <color rgb="FF7F7F7F"/>
      </right>
      <top style="thin">
        <color rgb="FF7F7F7F"/>
      </top>
      <bottom style="medium">
        <color indexed="64"/>
      </bottom>
      <diagonal/>
    </border>
    <border>
      <left style="medium">
        <color indexed="64"/>
      </left>
      <right style="thin">
        <color rgb="FF7F7F7F"/>
      </right>
      <top/>
      <bottom style="thin">
        <color rgb="FF7F7F7F"/>
      </bottom>
      <diagonal/>
    </border>
    <border>
      <left style="thin">
        <color rgb="FF7F7F7F"/>
      </left>
      <right style="thin">
        <color rgb="FF7F7F7F"/>
      </right>
      <top/>
      <bottom style="thin">
        <color rgb="FF7F7F7F"/>
      </bottom>
      <diagonal/>
    </border>
    <border>
      <left style="thin">
        <color rgb="FF7F7F7F"/>
      </left>
      <right style="medium">
        <color indexed="64"/>
      </right>
      <top/>
      <bottom style="thin">
        <color rgb="FF7F7F7F"/>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dotted">
        <color indexed="64"/>
      </bottom>
      <diagonal/>
    </border>
    <border>
      <left style="medium">
        <color indexed="64"/>
      </left>
      <right style="medium">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right/>
      <top style="thin">
        <color auto="1"/>
      </top>
      <bottom style="thin">
        <color auto="1"/>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top style="thin">
        <color auto="1"/>
      </top>
      <bottom style="thin">
        <color auto="1"/>
      </bottom>
      <diagonal/>
    </border>
    <border>
      <left/>
      <right style="medium">
        <color indexed="64"/>
      </right>
      <top style="thin">
        <color auto="1"/>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rgb="FFB2B2B2"/>
      </right>
      <top style="thin">
        <color rgb="FFB2B2B2"/>
      </top>
      <bottom style="thin">
        <color rgb="FFB2B2B2"/>
      </bottom>
      <diagonal/>
    </border>
    <border>
      <left/>
      <right/>
      <top style="thin">
        <color indexed="64"/>
      </top>
      <bottom/>
      <diagonal/>
    </border>
    <border>
      <left/>
      <right style="thin">
        <color rgb="FFB2B2B2"/>
      </right>
      <top style="thin">
        <color rgb="FFB2B2B2"/>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thin">
        <color rgb="FF7F7F7F"/>
      </bottom>
      <diagonal/>
    </border>
    <border>
      <left style="medium">
        <color indexed="64"/>
      </left>
      <right/>
      <top style="thin">
        <color rgb="FF7F7F7F"/>
      </top>
      <bottom style="thin">
        <color rgb="FF7F7F7F"/>
      </bottom>
      <diagonal/>
    </border>
    <border>
      <left style="medium">
        <color indexed="64"/>
      </left>
      <right/>
      <top style="thin">
        <color rgb="FF7F7F7F"/>
      </top>
      <bottom style="medium">
        <color indexed="64"/>
      </bottom>
      <diagonal/>
    </border>
  </borders>
  <cellStyleXfs count="7">
    <xf numFmtId="0" fontId="0" fillId="0" borderId="0"/>
    <xf numFmtId="0" fontId="2" fillId="2" borderId="0" applyNumberFormat="0" applyBorder="0" applyAlignment="0" applyProtection="0"/>
    <xf numFmtId="0" fontId="3" fillId="3" borderId="1" applyNumberFormat="0" applyAlignment="0" applyProtection="0"/>
    <xf numFmtId="0" fontId="4" fillId="4" borderId="1" applyNumberFormat="0" applyAlignment="0" applyProtection="0"/>
    <xf numFmtId="0" fontId="1" fillId="5" borderId="2" applyNumberFormat="0" applyFont="0" applyAlignment="0" applyProtection="0"/>
    <xf numFmtId="0" fontId="7" fillId="6" borderId="0" applyNumberFormat="0" applyBorder="0" applyAlignment="0" applyProtection="0"/>
    <xf numFmtId="0" fontId="8" fillId="0" borderId="0" applyNumberFormat="0" applyFill="0" applyBorder="0" applyAlignment="0" applyProtection="0"/>
  </cellStyleXfs>
  <cellXfs count="96">
    <xf numFmtId="0" fontId="0" fillId="0" borderId="0" xfId="0"/>
    <xf numFmtId="0" fontId="0" fillId="0" borderId="0" xfId="0" applyAlignment="1">
      <alignment horizontal="center"/>
    </xf>
    <xf numFmtId="0" fontId="5" fillId="0" borderId="6" xfId="0" applyFont="1" applyBorder="1" applyAlignment="1">
      <alignment horizontal="center"/>
    </xf>
    <xf numFmtId="0" fontId="5" fillId="0" borderId="7" xfId="0" applyFont="1" applyBorder="1" applyAlignment="1">
      <alignment horizontal="center"/>
    </xf>
    <xf numFmtId="0" fontId="5" fillId="0" borderId="12" xfId="0" applyFont="1" applyBorder="1"/>
    <xf numFmtId="0" fontId="0" fillId="0" borderId="20" xfId="0" applyBorder="1"/>
    <xf numFmtId="0" fontId="0" fillId="0" borderId="21" xfId="0" applyBorder="1"/>
    <xf numFmtId="0" fontId="0" fillId="0" borderId="23" xfId="0" applyBorder="1"/>
    <xf numFmtId="0" fontId="0" fillId="0" borderId="24" xfId="0" applyBorder="1"/>
    <xf numFmtId="0" fontId="0" fillId="0" borderId="25" xfId="0" applyBorder="1"/>
    <xf numFmtId="0" fontId="0" fillId="0" borderId="26" xfId="0" applyBorder="1" applyAlignment="1">
      <alignment horizontal="center"/>
    </xf>
    <xf numFmtId="0" fontId="0" fillId="0" borderId="27" xfId="0" applyBorder="1"/>
    <xf numFmtId="0" fontId="0" fillId="0" borderId="26" xfId="0" applyBorder="1"/>
    <xf numFmtId="0" fontId="0" fillId="0" borderId="28" xfId="0" applyBorder="1"/>
    <xf numFmtId="0" fontId="0" fillId="0" borderId="29" xfId="0" applyBorder="1"/>
    <xf numFmtId="0" fontId="0" fillId="0" borderId="30" xfId="0" applyBorder="1"/>
    <xf numFmtId="0" fontId="5" fillId="0" borderId="31" xfId="0" applyFont="1" applyBorder="1" applyAlignment="1">
      <alignment horizontal="left" vertical="top"/>
    </xf>
    <xf numFmtId="0" fontId="6" fillId="4" borderId="17" xfId="3" applyFont="1" applyBorder="1"/>
    <xf numFmtId="164" fontId="4" fillId="4" borderId="17" xfId="3" applyNumberFormat="1" applyBorder="1" applyAlignment="1">
      <alignment horizontal="center"/>
    </xf>
    <xf numFmtId="0" fontId="5" fillId="0" borderId="32" xfId="0" applyFont="1" applyBorder="1"/>
    <xf numFmtId="0" fontId="5" fillId="0" borderId="6" xfId="0" applyFont="1" applyBorder="1"/>
    <xf numFmtId="0" fontId="4" fillId="4" borderId="16" xfId="3" applyBorder="1" applyAlignment="1">
      <alignment horizontal="left" vertical="center" indent="1"/>
    </xf>
    <xf numFmtId="164" fontId="4" fillId="4" borderId="18" xfId="3" applyNumberFormat="1" applyBorder="1" applyAlignment="1">
      <alignment horizontal="center"/>
    </xf>
    <xf numFmtId="0" fontId="4" fillId="4" borderId="14" xfId="3" applyBorder="1" applyAlignment="1">
      <alignment horizontal="left" vertical="center" indent="1"/>
    </xf>
    <xf numFmtId="0" fontId="6" fillId="4" borderId="1" xfId="3" applyFont="1"/>
    <xf numFmtId="0" fontId="0" fillId="0" borderId="33" xfId="0" applyBorder="1" applyAlignment="1">
      <alignment horizontal="center" vertical="top"/>
    </xf>
    <xf numFmtId="0" fontId="0" fillId="0" borderId="34" xfId="0" applyBorder="1" applyAlignment="1">
      <alignment horizontal="center" vertical="top"/>
    </xf>
    <xf numFmtId="0" fontId="0" fillId="0" borderId="35" xfId="0" applyBorder="1" applyAlignment="1">
      <alignment horizontal="center" vertical="top"/>
    </xf>
    <xf numFmtId="0" fontId="0" fillId="0" borderId="33" xfId="0" applyBorder="1" applyAlignment="1">
      <alignment vertical="top"/>
    </xf>
    <xf numFmtId="0" fontId="0" fillId="0" borderId="34" xfId="0" applyBorder="1" applyAlignment="1">
      <alignment vertical="top"/>
    </xf>
    <xf numFmtId="0" fontId="0" fillId="0" borderId="35" xfId="0" applyBorder="1" applyAlignment="1">
      <alignment vertical="top"/>
    </xf>
    <xf numFmtId="0" fontId="0" fillId="0" borderId="0" xfId="0" applyAlignment="1">
      <alignment vertical="top" wrapText="1"/>
    </xf>
    <xf numFmtId="0" fontId="0" fillId="0" borderId="0" xfId="0" applyAlignment="1">
      <alignment vertical="center"/>
    </xf>
    <xf numFmtId="0" fontId="0" fillId="5" borderId="36" xfId="4" applyFont="1" applyBorder="1" applyAlignment="1">
      <alignment horizontal="left" vertical="center" indent="1"/>
    </xf>
    <xf numFmtId="0" fontId="0" fillId="5" borderId="37" xfId="4" applyFont="1" applyBorder="1" applyAlignment="1">
      <alignment horizontal="center" vertical="center"/>
    </xf>
    <xf numFmtId="0" fontId="0" fillId="5" borderId="38" xfId="4" applyFont="1" applyBorder="1" applyAlignment="1">
      <alignment horizontal="left" vertical="center" indent="1"/>
    </xf>
    <xf numFmtId="0" fontId="0" fillId="0" borderId="39" xfId="0" applyBorder="1" applyAlignment="1">
      <alignment vertical="top" wrapText="1"/>
    </xf>
    <xf numFmtId="0" fontId="0" fillId="5" borderId="40" xfId="4" applyFont="1" applyBorder="1" applyAlignment="1">
      <alignment horizontal="center" vertical="center"/>
    </xf>
    <xf numFmtId="0" fontId="0" fillId="0" borderId="41" xfId="0" applyBorder="1" applyAlignment="1">
      <alignment vertical="top" wrapText="1"/>
    </xf>
    <xf numFmtId="0" fontId="0" fillId="0" borderId="41" xfId="0" applyBorder="1"/>
    <xf numFmtId="0" fontId="0" fillId="5" borderId="19" xfId="4" applyFont="1" applyBorder="1" applyAlignment="1">
      <alignment horizontal="center" vertical="center"/>
    </xf>
    <xf numFmtId="0" fontId="0" fillId="5" borderId="20" xfId="4" applyFont="1" applyBorder="1" applyAlignment="1">
      <alignment horizontal="left" vertical="center" indent="1"/>
    </xf>
    <xf numFmtId="0" fontId="0" fillId="0" borderId="22" xfId="0" applyBorder="1" applyAlignment="1">
      <alignment vertical="top" wrapText="1"/>
    </xf>
    <xf numFmtId="0" fontId="5" fillId="0" borderId="42" xfId="0" applyFont="1" applyBorder="1" applyAlignment="1">
      <alignment vertical="center"/>
    </xf>
    <xf numFmtId="0" fontId="5" fillId="0" borderId="43" xfId="0" applyFont="1" applyBorder="1"/>
    <xf numFmtId="0" fontId="5" fillId="0" borderId="44" xfId="0" applyFont="1" applyBorder="1" applyAlignment="1">
      <alignment vertical="top" wrapText="1"/>
    </xf>
    <xf numFmtId="0" fontId="5" fillId="0" borderId="45" xfId="0" applyFont="1" applyBorder="1" applyAlignment="1">
      <alignment horizontal="center"/>
    </xf>
    <xf numFmtId="0" fontId="5" fillId="0" borderId="46" xfId="0" applyFont="1" applyBorder="1" applyAlignment="1">
      <alignment horizontal="center"/>
    </xf>
    <xf numFmtId="0" fontId="4" fillId="4" borderId="14" xfId="3" applyBorder="1" applyAlignment="1">
      <alignment horizontal="left" vertical="center" wrapText="1" indent="1"/>
    </xf>
    <xf numFmtId="0" fontId="5" fillId="0" borderId="12" xfId="0" applyFont="1" applyBorder="1" applyAlignment="1">
      <alignment wrapText="1"/>
    </xf>
    <xf numFmtId="0" fontId="0" fillId="0" borderId="13" xfId="0" applyBorder="1" applyAlignment="1">
      <alignment wrapText="1"/>
    </xf>
    <xf numFmtId="0" fontId="0" fillId="5" borderId="47" xfId="4" applyFont="1" applyBorder="1" applyAlignment="1">
      <alignment horizontal="left" vertical="center" wrapText="1"/>
    </xf>
    <xf numFmtId="0" fontId="0" fillId="0" borderId="0" xfId="0" applyAlignment="1">
      <alignment wrapText="1"/>
    </xf>
    <xf numFmtId="0" fontId="0" fillId="5" borderId="0" xfId="4" applyFont="1" applyBorder="1" applyAlignment="1">
      <alignment horizontal="left" vertical="center"/>
    </xf>
    <xf numFmtId="0" fontId="0" fillId="5" borderId="2" xfId="4" applyFont="1" applyAlignment="1">
      <alignment horizontal="left" vertical="center"/>
    </xf>
    <xf numFmtId="0" fontId="0" fillId="5" borderId="29" xfId="4" applyFont="1" applyBorder="1" applyAlignment="1">
      <alignment horizontal="left" vertical="center"/>
    </xf>
    <xf numFmtId="0" fontId="2" fillId="2" borderId="4" xfId="1" applyBorder="1" applyAlignment="1">
      <alignment horizontal="left" vertical="center"/>
    </xf>
    <xf numFmtId="0" fontId="2" fillId="2" borderId="5" xfId="1" applyBorder="1" applyAlignment="1">
      <alignment horizontal="left" vertical="center"/>
    </xf>
    <xf numFmtId="0" fontId="3" fillId="3" borderId="16" xfId="2" applyBorder="1" applyAlignment="1">
      <alignment horizontal="left" vertical="center"/>
    </xf>
    <xf numFmtId="0" fontId="3" fillId="3" borderId="17" xfId="2" applyBorder="1" applyAlignment="1">
      <alignment horizontal="left" vertical="center"/>
    </xf>
    <xf numFmtId="0" fontId="3" fillId="3" borderId="18" xfId="2" applyBorder="1" applyAlignment="1">
      <alignment horizontal="left" vertical="center"/>
    </xf>
    <xf numFmtId="0" fontId="0" fillId="0" borderId="0" xfId="0" applyAlignment="1">
      <alignment horizontal="left" vertical="center"/>
    </xf>
    <xf numFmtId="0" fontId="2" fillId="2" borderId="3" xfId="1" applyBorder="1" applyAlignment="1">
      <alignment horizontal="left" vertical="center"/>
    </xf>
    <xf numFmtId="0" fontId="3" fillId="3" borderId="14" xfId="2" applyBorder="1" applyAlignment="1">
      <alignment horizontal="left" vertical="center"/>
    </xf>
    <xf numFmtId="0" fontId="3" fillId="3" borderId="1" xfId="2" applyAlignment="1">
      <alignment horizontal="left" vertical="center"/>
    </xf>
    <xf numFmtId="0" fontId="3" fillId="3" borderId="8" xfId="2" applyBorder="1" applyAlignment="1">
      <alignment horizontal="left" vertical="center"/>
    </xf>
    <xf numFmtId="0" fontId="2" fillId="2" borderId="9" xfId="1" applyBorder="1" applyAlignment="1">
      <alignment horizontal="left" vertical="center"/>
    </xf>
    <xf numFmtId="0" fontId="3" fillId="3" borderId="15" xfId="2" applyBorder="1" applyAlignment="1">
      <alignment horizontal="left" vertical="center"/>
    </xf>
    <xf numFmtId="0" fontId="3" fillId="3" borderId="10" xfId="2" applyBorder="1" applyAlignment="1">
      <alignment horizontal="left" vertical="center"/>
    </xf>
    <xf numFmtId="0" fontId="3" fillId="3" borderId="11" xfId="2" applyBorder="1" applyAlignment="1">
      <alignment horizontal="left" vertical="center"/>
    </xf>
    <xf numFmtId="0" fontId="5" fillId="0" borderId="0" xfId="0" applyFont="1" applyAlignment="1">
      <alignment horizontal="center"/>
    </xf>
    <xf numFmtId="164" fontId="4" fillId="4" borderId="0" xfId="3" applyNumberFormat="1" applyBorder="1" applyAlignment="1">
      <alignment horizontal="center"/>
    </xf>
    <xf numFmtId="0" fontId="9" fillId="0" borderId="0" xfId="0" applyFont="1" applyAlignment="1">
      <alignment vertical="center"/>
    </xf>
    <xf numFmtId="0" fontId="5" fillId="0" borderId="13" xfId="0" applyFont="1" applyBorder="1" applyAlignment="1">
      <alignment horizontal="center" textRotation="90"/>
    </xf>
    <xf numFmtId="0" fontId="5" fillId="0" borderId="20" xfId="0" applyFont="1" applyBorder="1" applyAlignment="1">
      <alignment horizontal="center" textRotation="90"/>
    </xf>
    <xf numFmtId="0" fontId="8" fillId="5" borderId="0" xfId="6" applyFill="1" applyBorder="1" applyAlignment="1">
      <alignment horizontal="left" vertical="center"/>
    </xf>
    <xf numFmtId="0" fontId="0" fillId="5" borderId="49" xfId="4" applyFont="1" applyBorder="1" applyAlignment="1">
      <alignment horizontal="left" vertical="center" wrapText="1"/>
    </xf>
    <xf numFmtId="0" fontId="5" fillId="0" borderId="24" xfId="0" applyFont="1" applyBorder="1" applyAlignment="1">
      <alignment horizontal="center" vertical="center"/>
    </xf>
    <xf numFmtId="0" fontId="0" fillId="0" borderId="48" xfId="0" applyBorder="1" applyAlignment="1">
      <alignment horizontal="center" vertical="center"/>
    </xf>
    <xf numFmtId="0" fontId="0" fillId="0" borderId="0" xfId="0" applyAlignment="1">
      <alignment horizontal="center" vertical="center"/>
    </xf>
    <xf numFmtId="0" fontId="0" fillId="5" borderId="3" xfId="4" applyFont="1" applyBorder="1" applyAlignment="1">
      <alignment horizontal="center" vertical="center"/>
    </xf>
    <xf numFmtId="0" fontId="5" fillId="0" borderId="32" xfId="0" applyFont="1" applyBorder="1" applyAlignment="1">
      <alignment horizontal="center" textRotation="90" wrapText="1"/>
    </xf>
    <xf numFmtId="164" fontId="4" fillId="4" borderId="50" xfId="3" applyNumberFormat="1" applyBorder="1" applyAlignment="1">
      <alignment horizontal="center"/>
    </xf>
    <xf numFmtId="0" fontId="5" fillId="0" borderId="37" xfId="0" applyFont="1" applyBorder="1"/>
    <xf numFmtId="0" fontId="4" fillId="4" borderId="51" xfId="3" applyBorder="1" applyAlignment="1">
      <alignment horizontal="left" vertical="center" indent="1"/>
    </xf>
    <xf numFmtId="0" fontId="4" fillId="4" borderId="52" xfId="3" applyBorder="1" applyAlignment="1">
      <alignment horizontal="left" vertical="center" indent="1"/>
    </xf>
    <xf numFmtId="0" fontId="4" fillId="4" borderId="52" xfId="3" applyBorder="1" applyAlignment="1">
      <alignment horizontal="left" vertical="center" wrapText="1" indent="1"/>
    </xf>
    <xf numFmtId="0" fontId="4" fillId="4" borderId="53" xfId="3" applyBorder="1" applyAlignment="1">
      <alignment horizontal="left" vertical="center" wrapText="1" indent="1"/>
    </xf>
    <xf numFmtId="0" fontId="5" fillId="0" borderId="3" xfId="0" applyFont="1" applyBorder="1" applyAlignment="1">
      <alignment horizontal="center"/>
    </xf>
    <xf numFmtId="0" fontId="5" fillId="0" borderId="3" xfId="0" applyFont="1" applyBorder="1" applyAlignment="1">
      <alignment horizontal="center" textRotation="90"/>
    </xf>
    <xf numFmtId="0" fontId="2" fillId="2" borderId="5" xfId="1" applyBorder="1" applyAlignment="1">
      <alignment horizontal="center" vertical="center"/>
    </xf>
    <xf numFmtId="0" fontId="7" fillId="6" borderId="5" xfId="5" applyBorder="1" applyAlignment="1">
      <alignment horizontal="center" vertical="center"/>
    </xf>
    <xf numFmtId="0" fontId="0" fillId="0" borderId="3" xfId="0" applyBorder="1" applyAlignment="1">
      <alignment horizontal="center" vertical="center"/>
    </xf>
    <xf numFmtId="0" fontId="5" fillId="0" borderId="46" xfId="0" applyFont="1" applyBorder="1" applyAlignment="1">
      <alignment horizontal="left" vertical="center" wrapText="1"/>
    </xf>
    <xf numFmtId="0" fontId="5" fillId="0" borderId="31" xfId="0" applyFont="1" applyBorder="1" applyAlignment="1">
      <alignment wrapText="1"/>
    </xf>
    <xf numFmtId="0" fontId="0" fillId="5" borderId="0" xfId="4" applyFont="1" applyBorder="1" applyAlignment="1">
      <alignment horizontal="center" vertical="center"/>
    </xf>
  </cellXfs>
  <cellStyles count="7">
    <cellStyle name="Bad" xfId="5" builtinId="27"/>
    <cellStyle name="Calculation" xfId="3" builtinId="22"/>
    <cellStyle name="Hyperlink" xfId="6" builtinId="8"/>
    <cellStyle name="Input" xfId="2" builtinId="20"/>
    <cellStyle name="Neutral" xfId="1" builtinId="28"/>
    <cellStyle name="Normal" xfId="0" builtinId="0"/>
    <cellStyle name="Note" xfId="4" builtinId="1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NZ"/>
              <a:t>Professional Attributes Assessment and Behavours</a:t>
            </a:r>
          </a:p>
        </c:rich>
      </c:tx>
      <c:layout>
        <c:manualLayout>
          <c:xMode val="edge"/>
          <c:yMode val="edge"/>
          <c:x val="3.1004652040709374E-2"/>
          <c:y val="3.237678020340528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6830966739576253"/>
          <c:y val="0.187771923730122"/>
          <c:w val="0.64726668603165172"/>
          <c:h val="0.73915585919407134"/>
        </c:manualLayout>
      </c:layout>
      <c:radarChart>
        <c:radarStyle val="marker"/>
        <c:varyColors val="0"/>
        <c:ser>
          <c:idx val="0"/>
          <c:order val="0"/>
          <c:tx>
            <c:v>Self-Assessment Scores</c:v>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Results!$B$4:$B$10</c:f>
              <c:strCache>
                <c:ptCount val="7"/>
                <c:pt idx="0">
                  <c:v>Economics Thinking Capability</c:v>
                </c:pt>
                <c:pt idx="1">
                  <c:v>Economic Skills</c:v>
                </c:pt>
                <c:pt idx="2">
                  <c:v>Research &amp; Delivery Skills</c:v>
                </c:pt>
                <c:pt idx="3">
                  <c:v>Stakeholder &amp; Customer Awareness</c:v>
                </c:pt>
                <c:pt idx="4">
                  <c:v>Collaboration &amp; Ways of Working</c:v>
                </c:pt>
                <c:pt idx="5">
                  <c:v>Feedback, Development &amp; Career Management</c:v>
                </c:pt>
                <c:pt idx="6">
                  <c:v>Professionalism &amp; Organisational Skills</c:v>
                </c:pt>
              </c:strCache>
            </c:strRef>
          </c:cat>
          <c:val>
            <c:numRef>
              <c:f>Results!$F$4:$F$10</c:f>
              <c:numCache>
                <c:formatCode>0.0</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0-3A22-41D7-9597-EA5D32799F78}"/>
            </c:ext>
          </c:extLst>
        </c:ser>
        <c:ser>
          <c:idx val="1"/>
          <c:order val="1"/>
          <c:tx>
            <c:v>Assessment of Job Description</c:v>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val>
            <c:numRef>
              <c:f>Results!$Q$4:$Q$10</c:f>
              <c:numCache>
                <c:formatCode>0.0</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0-5F2B-4A6B-AD1C-2E12C293714B}"/>
            </c:ext>
          </c:extLst>
        </c:ser>
        <c:dLbls>
          <c:showLegendKey val="0"/>
          <c:showVal val="0"/>
          <c:showCatName val="0"/>
          <c:showSerName val="0"/>
          <c:showPercent val="0"/>
          <c:showBubbleSize val="0"/>
        </c:dLbls>
        <c:axId val="1306495215"/>
        <c:axId val="1306507695"/>
      </c:radarChart>
      <c:catAx>
        <c:axId val="13064952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507695"/>
        <c:crosses val="autoZero"/>
        <c:auto val="1"/>
        <c:lblAlgn val="ctr"/>
        <c:lblOffset val="100"/>
        <c:noMultiLvlLbl val="0"/>
      </c:catAx>
      <c:valAx>
        <c:axId val="1306507695"/>
        <c:scaling>
          <c:orientation val="minMax"/>
          <c:max val="4"/>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4952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9523</xdr:colOff>
      <xdr:row>12</xdr:row>
      <xdr:rowOff>15875</xdr:rowOff>
    </xdr:from>
    <xdr:to>
      <xdr:col>12</xdr:col>
      <xdr:colOff>19050</xdr:colOff>
      <xdr:row>47</xdr:row>
      <xdr:rowOff>180975</xdr:rowOff>
    </xdr:to>
    <xdr:graphicFrame macro="">
      <xdr:nvGraphicFramePr>
        <xdr:cNvPr id="2" name="Chart 1">
          <a:extLst>
            <a:ext uri="{FF2B5EF4-FFF2-40B4-BE49-F238E27FC236}">
              <a16:creationId xmlns:a16="http://schemas.microsoft.com/office/drawing/2014/main" id="{46C836C6-F24F-43D7-AB09-7EC3CCBEE1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cmc-canada.ca/web/default/files/CMC_Competency_Framework_2018.pdf"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cmc-canada.ca/web/default/files/CMC_Competency_Framework_2018.pdf"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cmc-canada.ca/web/default/files/CMC_Competency_Framework_2018.pdf"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CACE3-6904-4BDB-A1E7-EF960EFFD786}">
  <dimension ref="A1:D41"/>
  <sheetViews>
    <sheetView workbookViewId="0">
      <selection activeCell="L9" sqref="L9"/>
    </sheetView>
  </sheetViews>
  <sheetFormatPr defaultRowHeight="14.5" x14ac:dyDescent="0.35"/>
  <cols>
    <col min="2" max="2" width="8.453125" style="32" hidden="1" customWidth="1"/>
    <col min="3" max="3" width="56.1796875" customWidth="1"/>
    <col min="4" max="4" width="93.1796875" style="31" customWidth="1"/>
  </cols>
  <sheetData>
    <row r="1" spans="1:4" ht="15" thickBot="1" x14ac:dyDescent="0.4">
      <c r="B1" s="43" t="s">
        <v>83</v>
      </c>
      <c r="C1" s="44" t="s">
        <v>84</v>
      </c>
      <c r="D1" s="45" t="s">
        <v>85</v>
      </c>
    </row>
    <row r="2" spans="1:4" x14ac:dyDescent="0.35">
      <c r="A2" s="80">
        <v>5</v>
      </c>
      <c r="B2" s="34">
        <v>22</v>
      </c>
      <c r="C2" s="35" t="s">
        <v>20</v>
      </c>
      <c r="D2" s="36" t="s">
        <v>70</v>
      </c>
    </row>
    <row r="3" spans="1:4" ht="29" x14ac:dyDescent="0.35">
      <c r="A3" s="80">
        <v>1</v>
      </c>
      <c r="B3" s="37">
        <v>33</v>
      </c>
      <c r="C3" s="33" t="s">
        <v>31</v>
      </c>
      <c r="D3" s="38" t="s">
        <v>78</v>
      </c>
    </row>
    <row r="4" spans="1:4" ht="29" x14ac:dyDescent="0.35">
      <c r="A4" s="80">
        <v>19</v>
      </c>
      <c r="B4" s="37">
        <v>10</v>
      </c>
      <c r="C4" s="33" t="s">
        <v>9</v>
      </c>
      <c r="D4" s="38" t="s">
        <v>59</v>
      </c>
    </row>
    <row r="5" spans="1:4" ht="29" x14ac:dyDescent="0.35">
      <c r="A5" s="80">
        <v>28</v>
      </c>
      <c r="B5" s="37">
        <v>13</v>
      </c>
      <c r="C5" s="33" t="s">
        <v>38</v>
      </c>
      <c r="D5" s="38" t="s">
        <v>61</v>
      </c>
    </row>
    <row r="6" spans="1:4" ht="29" x14ac:dyDescent="0.35">
      <c r="A6" s="80">
        <v>14</v>
      </c>
      <c r="B6" s="37">
        <v>11</v>
      </c>
      <c r="C6" s="33" t="s">
        <v>10</v>
      </c>
      <c r="D6" s="38" t="s">
        <v>60</v>
      </c>
    </row>
    <row r="7" spans="1:4" x14ac:dyDescent="0.35">
      <c r="A7" s="80">
        <v>13</v>
      </c>
      <c r="B7" s="37">
        <v>2</v>
      </c>
      <c r="C7" s="33" t="s">
        <v>1</v>
      </c>
      <c r="D7" s="38" t="s">
        <v>51</v>
      </c>
    </row>
    <row r="8" spans="1:4" ht="29" x14ac:dyDescent="0.35">
      <c r="A8" s="80">
        <v>24</v>
      </c>
      <c r="B8" s="37">
        <v>14</v>
      </c>
      <c r="C8" s="33" t="s">
        <v>12</v>
      </c>
      <c r="D8" s="38" t="s">
        <v>62</v>
      </c>
    </row>
    <row r="9" spans="1:4" ht="43.5" x14ac:dyDescent="0.35">
      <c r="A9" s="80">
        <v>2</v>
      </c>
      <c r="B9" s="37">
        <v>3</v>
      </c>
      <c r="C9" s="33" t="s">
        <v>2</v>
      </c>
      <c r="D9" s="38" t="s">
        <v>52</v>
      </c>
    </row>
    <row r="10" spans="1:4" ht="29" x14ac:dyDescent="0.35">
      <c r="A10" s="80">
        <v>23</v>
      </c>
      <c r="B10" s="37">
        <v>17</v>
      </c>
      <c r="C10" s="33" t="s">
        <v>15</v>
      </c>
      <c r="D10" s="38" t="s">
        <v>65</v>
      </c>
    </row>
    <row r="11" spans="1:4" ht="29" x14ac:dyDescent="0.35">
      <c r="A11" s="80">
        <v>16</v>
      </c>
      <c r="B11" s="37">
        <v>32</v>
      </c>
      <c r="C11" s="33" t="s">
        <v>30</v>
      </c>
      <c r="D11" s="38" t="s">
        <v>77</v>
      </c>
    </row>
    <row r="12" spans="1:4" x14ac:dyDescent="0.35">
      <c r="A12" s="80">
        <v>17</v>
      </c>
      <c r="B12" s="37">
        <v>16</v>
      </c>
      <c r="C12" s="33" t="s">
        <v>14</v>
      </c>
      <c r="D12" s="39" t="s">
        <v>64</v>
      </c>
    </row>
    <row r="13" spans="1:4" ht="29" x14ac:dyDescent="0.35">
      <c r="A13" s="80">
        <v>36</v>
      </c>
      <c r="B13" s="37">
        <v>6</v>
      </c>
      <c r="C13" s="33" t="s">
        <v>5</v>
      </c>
      <c r="D13" s="38" t="s">
        <v>55</v>
      </c>
    </row>
    <row r="14" spans="1:4" ht="29" x14ac:dyDescent="0.35">
      <c r="A14" s="80">
        <v>26</v>
      </c>
      <c r="B14" s="37">
        <v>8</v>
      </c>
      <c r="C14" s="33" t="s">
        <v>7</v>
      </c>
      <c r="D14" s="38" t="s">
        <v>57</v>
      </c>
    </row>
    <row r="15" spans="1:4" ht="29" x14ac:dyDescent="0.35">
      <c r="A15" s="80">
        <v>9</v>
      </c>
      <c r="B15" s="37">
        <v>21</v>
      </c>
      <c r="C15" s="33" t="s">
        <v>19</v>
      </c>
      <c r="D15" s="38" t="s">
        <v>69</v>
      </c>
    </row>
    <row r="16" spans="1:4" ht="29" x14ac:dyDescent="0.35">
      <c r="A16" s="80">
        <v>33</v>
      </c>
      <c r="B16" s="37">
        <v>28</v>
      </c>
      <c r="C16" s="33" t="s">
        <v>26</v>
      </c>
      <c r="D16" s="38" t="s">
        <v>74</v>
      </c>
    </row>
    <row r="17" spans="1:4" ht="29" x14ac:dyDescent="0.35">
      <c r="A17" s="80">
        <v>12</v>
      </c>
      <c r="B17" s="37">
        <v>12</v>
      </c>
      <c r="C17" s="33" t="s">
        <v>11</v>
      </c>
      <c r="D17" s="38" t="s">
        <v>79</v>
      </c>
    </row>
    <row r="18" spans="1:4" ht="43.5" x14ac:dyDescent="0.35">
      <c r="A18" s="80">
        <v>3</v>
      </c>
      <c r="B18" s="37">
        <v>7</v>
      </c>
      <c r="C18" s="33" t="s">
        <v>6</v>
      </c>
      <c r="D18" s="38" t="s">
        <v>56</v>
      </c>
    </row>
    <row r="19" spans="1:4" ht="29" x14ac:dyDescent="0.35">
      <c r="A19" s="80">
        <v>38</v>
      </c>
      <c r="B19" s="37">
        <v>27</v>
      </c>
      <c r="C19" s="33" t="s">
        <v>25</v>
      </c>
      <c r="D19" s="38" t="s">
        <v>81</v>
      </c>
    </row>
    <row r="20" spans="1:4" ht="29" x14ac:dyDescent="0.35">
      <c r="A20" s="80">
        <v>7</v>
      </c>
      <c r="B20" s="37">
        <v>29</v>
      </c>
      <c r="C20" s="33" t="s">
        <v>27</v>
      </c>
      <c r="D20" s="38" t="s">
        <v>75</v>
      </c>
    </row>
    <row r="21" spans="1:4" x14ac:dyDescent="0.35">
      <c r="A21" s="80">
        <v>6</v>
      </c>
      <c r="B21" s="37">
        <v>31</v>
      </c>
      <c r="C21" s="33" t="s">
        <v>29</v>
      </c>
      <c r="D21" s="38" t="s">
        <v>76</v>
      </c>
    </row>
    <row r="22" spans="1:4" x14ac:dyDescent="0.35">
      <c r="A22" s="80">
        <v>8</v>
      </c>
      <c r="B22" s="37">
        <v>15</v>
      </c>
      <c r="C22" s="33" t="s">
        <v>13</v>
      </c>
      <c r="D22" s="39" t="s">
        <v>63</v>
      </c>
    </row>
    <row r="23" spans="1:4" ht="29" x14ac:dyDescent="0.35">
      <c r="A23" s="80">
        <v>35</v>
      </c>
      <c r="B23" s="37">
        <v>23</v>
      </c>
      <c r="C23" s="33" t="s">
        <v>21</v>
      </c>
      <c r="D23" s="38" t="s">
        <v>80</v>
      </c>
    </row>
    <row r="24" spans="1:4" x14ac:dyDescent="0.35">
      <c r="A24" s="80">
        <v>20</v>
      </c>
      <c r="B24" s="37">
        <v>30</v>
      </c>
      <c r="C24" s="33" t="s">
        <v>28</v>
      </c>
      <c r="D24" s="39" t="s">
        <v>82</v>
      </c>
    </row>
    <row r="25" spans="1:4" ht="29" x14ac:dyDescent="0.35">
      <c r="A25" s="80">
        <v>11</v>
      </c>
      <c r="B25" s="37">
        <v>4</v>
      </c>
      <c r="C25" s="33" t="s">
        <v>3</v>
      </c>
      <c r="D25" s="38" t="s">
        <v>53</v>
      </c>
    </row>
    <row r="26" spans="1:4" x14ac:dyDescent="0.35">
      <c r="A26" s="80">
        <v>22</v>
      </c>
      <c r="B26" s="37">
        <v>26</v>
      </c>
      <c r="C26" s="33" t="s">
        <v>24</v>
      </c>
      <c r="D26" s="38" t="s">
        <v>73</v>
      </c>
    </row>
    <row r="27" spans="1:4" ht="29" x14ac:dyDescent="0.35">
      <c r="A27" s="80">
        <v>30</v>
      </c>
      <c r="B27" s="37">
        <v>20</v>
      </c>
      <c r="C27" s="33" t="s">
        <v>18</v>
      </c>
      <c r="D27" s="38" t="s">
        <v>68</v>
      </c>
    </row>
    <row r="28" spans="1:4" ht="29" x14ac:dyDescent="0.35">
      <c r="A28" s="80">
        <v>25</v>
      </c>
      <c r="B28" s="37">
        <v>5</v>
      </c>
      <c r="C28" s="33" t="s">
        <v>4</v>
      </c>
      <c r="D28" s="38" t="s">
        <v>54</v>
      </c>
    </row>
    <row r="29" spans="1:4" ht="29" x14ac:dyDescent="0.35">
      <c r="A29" s="80"/>
      <c r="B29" s="37">
        <v>1</v>
      </c>
      <c r="C29" s="33" t="s">
        <v>0</v>
      </c>
      <c r="D29" s="38" t="s">
        <v>50</v>
      </c>
    </row>
    <row r="30" spans="1:4" ht="29" x14ac:dyDescent="0.35">
      <c r="A30" s="80">
        <v>4</v>
      </c>
      <c r="B30" s="37">
        <v>18</v>
      </c>
      <c r="C30" s="33" t="s">
        <v>16</v>
      </c>
      <c r="D30" s="38" t="s">
        <v>66</v>
      </c>
    </row>
    <row r="31" spans="1:4" ht="29" x14ac:dyDescent="0.35">
      <c r="A31" s="80">
        <v>37</v>
      </c>
      <c r="B31" s="37">
        <v>24</v>
      </c>
      <c r="C31" s="33" t="s">
        <v>22</v>
      </c>
      <c r="D31" s="38" t="s">
        <v>71</v>
      </c>
    </row>
    <row r="32" spans="1:4" ht="29" x14ac:dyDescent="0.35">
      <c r="A32" s="80">
        <v>32</v>
      </c>
      <c r="B32" s="37">
        <v>9</v>
      </c>
      <c r="C32" s="33" t="s">
        <v>8</v>
      </c>
      <c r="D32" s="38" t="s">
        <v>58</v>
      </c>
    </row>
    <row r="33" spans="1:4" ht="43.5" x14ac:dyDescent="0.35">
      <c r="A33" s="80">
        <v>29</v>
      </c>
      <c r="B33" s="37">
        <v>25</v>
      </c>
      <c r="C33" s="33" t="s">
        <v>23</v>
      </c>
      <c r="D33" s="38" t="s">
        <v>72</v>
      </c>
    </row>
    <row r="34" spans="1:4" ht="15" thickBot="1" x14ac:dyDescent="0.4">
      <c r="A34" s="80">
        <v>39</v>
      </c>
      <c r="B34" s="40">
        <v>19</v>
      </c>
      <c r="C34" s="41" t="s">
        <v>17</v>
      </c>
      <c r="D34" s="42" t="s">
        <v>67</v>
      </c>
    </row>
    <row r="35" spans="1:4" x14ac:dyDescent="0.35">
      <c r="A35" s="80">
        <v>10</v>
      </c>
      <c r="B35" s="95"/>
      <c r="C35" s="51" t="s">
        <v>101</v>
      </c>
    </row>
    <row r="36" spans="1:4" x14ac:dyDescent="0.35">
      <c r="A36" s="80">
        <v>15</v>
      </c>
      <c r="B36" s="95"/>
      <c r="C36" s="51" t="s">
        <v>105</v>
      </c>
    </row>
    <row r="37" spans="1:4" x14ac:dyDescent="0.35">
      <c r="A37" s="80">
        <v>18</v>
      </c>
      <c r="B37" s="95"/>
      <c r="C37" s="51" t="s">
        <v>102</v>
      </c>
    </row>
    <row r="38" spans="1:4" x14ac:dyDescent="0.35">
      <c r="A38" s="80">
        <v>21</v>
      </c>
      <c r="B38" s="95"/>
      <c r="C38" s="51" t="s">
        <v>107</v>
      </c>
    </row>
    <row r="39" spans="1:4" x14ac:dyDescent="0.35">
      <c r="A39" s="80">
        <v>27</v>
      </c>
      <c r="B39" s="95"/>
      <c r="C39" s="51" t="s">
        <v>103</v>
      </c>
    </row>
    <row r="40" spans="1:4" x14ac:dyDescent="0.35">
      <c r="A40" s="80">
        <v>31</v>
      </c>
      <c r="B40" s="95"/>
      <c r="C40" s="51" t="s">
        <v>104</v>
      </c>
    </row>
    <row r="41" spans="1:4" ht="15" thickBot="1" x14ac:dyDescent="0.4">
      <c r="A41" s="80">
        <v>34</v>
      </c>
      <c r="B41" s="95"/>
      <c r="C41" s="76" t="s">
        <v>106</v>
      </c>
    </row>
  </sheetData>
  <sortState xmlns:xlrd2="http://schemas.microsoft.com/office/spreadsheetml/2017/richdata2" ref="B2:D34">
    <sortCondition ref="C2:C34"/>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8833D-0406-49CD-BF91-2D0DEA3268FF}">
  <dimension ref="B1:J10"/>
  <sheetViews>
    <sheetView workbookViewId="0">
      <selection activeCell="B2" sqref="B2:G10"/>
    </sheetView>
  </sheetViews>
  <sheetFormatPr defaultRowHeight="14.5" x14ac:dyDescent="0.35"/>
  <cols>
    <col min="2" max="2" width="36.54296875" customWidth="1"/>
    <col min="9" max="10" width="4.6328125" hidden="1" customWidth="1"/>
  </cols>
  <sheetData>
    <row r="1" spans="2:10" ht="15" thickBot="1" x14ac:dyDescent="0.4"/>
    <row r="2" spans="2:10" ht="15" thickBot="1" x14ac:dyDescent="0.4">
      <c r="B2" s="7"/>
      <c r="C2" s="88">
        <v>0</v>
      </c>
      <c r="D2" s="88">
        <v>1</v>
      </c>
      <c r="E2" s="88">
        <v>2</v>
      </c>
      <c r="F2" s="88">
        <v>3</v>
      </c>
      <c r="G2" s="88">
        <v>4</v>
      </c>
    </row>
    <row r="3" spans="2:10" ht="120.5" x14ac:dyDescent="0.35">
      <c r="B3" s="83" t="s">
        <v>49</v>
      </c>
      <c r="C3" s="89" t="s">
        <v>118</v>
      </c>
      <c r="D3" s="89" t="s">
        <v>115</v>
      </c>
      <c r="E3" s="89" t="s">
        <v>114</v>
      </c>
      <c r="F3" s="89" t="s">
        <v>116</v>
      </c>
      <c r="G3" s="89" t="s">
        <v>117</v>
      </c>
    </row>
    <row r="4" spans="2:10" x14ac:dyDescent="0.35">
      <c r="B4" s="84" t="s">
        <v>113</v>
      </c>
      <c r="C4" s="92"/>
      <c r="D4" s="92"/>
      <c r="E4" s="92"/>
      <c r="F4" s="92"/>
      <c r="G4" s="92"/>
      <c r="I4" s="90">
        <f>IF(ISNA(MATCH("x",$C4:$G4,0)),0,MATCH("x",$C4:$G4,0))</f>
        <v>0</v>
      </c>
      <c r="J4" s="91">
        <f>IF(I4=0,0,I4-1)</f>
        <v>0</v>
      </c>
    </row>
    <row r="5" spans="2:10" x14ac:dyDescent="0.35">
      <c r="B5" s="84" t="s">
        <v>110</v>
      </c>
      <c r="C5" s="92"/>
      <c r="D5" s="92"/>
      <c r="E5" s="92"/>
      <c r="F5" s="92"/>
      <c r="G5" s="92"/>
      <c r="I5" s="90">
        <f t="shared" ref="I5:I10" si="0">IF(ISNA(MATCH("x",$C5:$G5,0)),0,MATCH("x",$C5:$G5,0))</f>
        <v>0</v>
      </c>
      <c r="J5" s="91">
        <f t="shared" ref="J5:J10" si="1">IF(I5=0,0,I5-1)</f>
        <v>0</v>
      </c>
    </row>
    <row r="6" spans="2:10" x14ac:dyDescent="0.35">
      <c r="B6" s="85" t="s">
        <v>98</v>
      </c>
      <c r="C6" s="92"/>
      <c r="D6" s="92"/>
      <c r="E6" s="92"/>
      <c r="F6" s="92"/>
      <c r="G6" s="92"/>
      <c r="I6" s="90">
        <f t="shared" si="0"/>
        <v>0</v>
      </c>
      <c r="J6" s="91">
        <f t="shared" si="1"/>
        <v>0</v>
      </c>
    </row>
    <row r="7" spans="2:10" x14ac:dyDescent="0.35">
      <c r="B7" s="85" t="s">
        <v>97</v>
      </c>
      <c r="C7" s="92"/>
      <c r="D7" s="92"/>
      <c r="E7" s="92"/>
      <c r="F7" s="92"/>
      <c r="G7" s="92"/>
      <c r="I7" s="90">
        <f t="shared" si="0"/>
        <v>0</v>
      </c>
      <c r="J7" s="91">
        <f t="shared" si="1"/>
        <v>0</v>
      </c>
    </row>
    <row r="8" spans="2:10" x14ac:dyDescent="0.35">
      <c r="B8" s="85" t="s">
        <v>96</v>
      </c>
      <c r="C8" s="92"/>
      <c r="D8" s="92"/>
      <c r="E8" s="92"/>
      <c r="F8" s="92"/>
      <c r="G8" s="92"/>
      <c r="I8" s="90">
        <f t="shared" si="0"/>
        <v>0</v>
      </c>
      <c r="J8" s="91">
        <f t="shared" si="1"/>
        <v>0</v>
      </c>
    </row>
    <row r="9" spans="2:10" ht="29" x14ac:dyDescent="0.35">
      <c r="B9" s="86" t="s">
        <v>95</v>
      </c>
      <c r="C9" s="92"/>
      <c r="D9" s="92"/>
      <c r="E9" s="92"/>
      <c r="F9" s="92"/>
      <c r="G9" s="92"/>
      <c r="I9" s="90">
        <f t="shared" si="0"/>
        <v>0</v>
      </c>
      <c r="J9" s="91">
        <f t="shared" si="1"/>
        <v>0</v>
      </c>
    </row>
    <row r="10" spans="2:10" ht="15" thickBot="1" x14ac:dyDescent="0.4">
      <c r="B10" s="87" t="s">
        <v>94</v>
      </c>
      <c r="C10" s="92"/>
      <c r="D10" s="92"/>
      <c r="E10" s="92"/>
      <c r="F10" s="92"/>
      <c r="G10" s="92"/>
      <c r="I10" s="90">
        <f t="shared" si="0"/>
        <v>0</v>
      </c>
      <c r="J10" s="91">
        <f t="shared" si="1"/>
        <v>0</v>
      </c>
    </row>
  </sheetData>
  <conditionalFormatting sqref="C4:G10">
    <cfRule type="containsText" dxfId="0" priority="1" operator="containsText" text="x">
      <formula>NOT(ISERROR(SEARCH("x",C4)))</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09E94-FEB3-4F44-A2D9-32E4AFC343CA}">
  <dimension ref="A1:O44"/>
  <sheetViews>
    <sheetView topLeftCell="A22" workbookViewId="0">
      <selection activeCell="H41" sqref="H3:M41"/>
    </sheetView>
  </sheetViews>
  <sheetFormatPr defaultRowHeight="14.5" x14ac:dyDescent="0.35"/>
  <cols>
    <col min="1" max="1" width="4.453125" style="79" customWidth="1"/>
    <col min="2" max="2" width="45.6328125" style="52" customWidth="1"/>
    <col min="3" max="3" width="8.1796875" hidden="1" customWidth="1"/>
    <col min="4" max="4" width="5.1796875" hidden="1" customWidth="1"/>
    <col min="5" max="5" width="1" hidden="1" customWidth="1"/>
    <col min="6" max="6" width="4.453125" hidden="1" customWidth="1"/>
    <col min="7" max="12" width="4.6328125" customWidth="1"/>
    <col min="13" max="13" width="53.54296875" customWidth="1"/>
    <col min="14" max="14" width="4.453125" customWidth="1"/>
    <col min="15" max="15" width="58.81640625" customWidth="1"/>
  </cols>
  <sheetData>
    <row r="1" spans="1:15" x14ac:dyDescent="0.35">
      <c r="A1" s="77"/>
      <c r="B1" s="49" t="s">
        <v>43</v>
      </c>
      <c r="C1" s="4"/>
      <c r="D1" s="4" t="s">
        <v>32</v>
      </c>
      <c r="E1" s="4"/>
      <c r="F1" s="4"/>
      <c r="G1" s="2">
        <v>0</v>
      </c>
      <c r="H1" s="2">
        <v>0</v>
      </c>
      <c r="I1" s="2">
        <v>1</v>
      </c>
      <c r="J1" s="2">
        <v>2</v>
      </c>
      <c r="K1" s="2">
        <v>3</v>
      </c>
      <c r="L1" s="2">
        <v>4</v>
      </c>
      <c r="M1" s="46" t="s">
        <v>86</v>
      </c>
    </row>
    <row r="2" spans="1:15" ht="121" thickBot="1" x14ac:dyDescent="0.4">
      <c r="A2" s="78"/>
      <c r="B2" s="50"/>
      <c r="C2" s="5"/>
      <c r="D2" s="5"/>
      <c r="E2" s="5"/>
      <c r="F2" s="6"/>
      <c r="G2" s="73"/>
      <c r="H2" s="73" t="s">
        <v>118</v>
      </c>
      <c r="I2" s="73" t="s">
        <v>115</v>
      </c>
      <c r="J2" s="74" t="s">
        <v>114</v>
      </c>
      <c r="K2" s="74" t="s">
        <v>116</v>
      </c>
      <c r="L2" s="74" t="s">
        <v>117</v>
      </c>
      <c r="M2" s="47" t="s">
        <v>87</v>
      </c>
      <c r="O2" t="s">
        <v>41</v>
      </c>
    </row>
    <row r="3" spans="1:15" s="61" customFormat="1" x14ac:dyDescent="0.35">
      <c r="A3" s="80">
        <v>1</v>
      </c>
      <c r="B3" s="51" t="s">
        <v>31</v>
      </c>
      <c r="C3" s="53" t="s">
        <v>91</v>
      </c>
      <c r="D3" s="56" t="s">
        <v>40</v>
      </c>
      <c r="E3" s="56"/>
      <c r="F3" s="57">
        <f t="shared" ref="F3:F41" si="0">IF(ISNA(MATCH("x",$H3:$L3,0)),0,MATCH("x",$H3:$L3,0))</f>
        <v>0</v>
      </c>
      <c r="G3" s="58">
        <f>IF(F3=0,0,F3-1)</f>
        <v>0</v>
      </c>
      <c r="H3" s="58"/>
      <c r="I3" s="59"/>
      <c r="J3" s="59"/>
      <c r="K3" s="59"/>
      <c r="L3" s="59"/>
      <c r="M3" s="60"/>
    </row>
    <row r="4" spans="1:15" s="61" customFormat="1" x14ac:dyDescent="0.35">
      <c r="A4" s="80">
        <v>2</v>
      </c>
      <c r="B4" s="51" t="s">
        <v>2</v>
      </c>
      <c r="C4" s="53" t="s">
        <v>88</v>
      </c>
      <c r="D4" s="56" t="s">
        <v>33</v>
      </c>
      <c r="E4" s="56"/>
      <c r="F4" s="57">
        <f t="shared" si="0"/>
        <v>0</v>
      </c>
      <c r="G4" s="58">
        <f t="shared" ref="G4:G41" si="1">IF(F4=0,0,F4-1)</f>
        <v>0</v>
      </c>
      <c r="H4" s="58"/>
      <c r="I4" s="59"/>
      <c r="J4" s="59"/>
      <c r="K4" s="59"/>
      <c r="L4" s="59"/>
      <c r="M4" s="60"/>
    </row>
    <row r="5" spans="1:15" s="61" customFormat="1" x14ac:dyDescent="0.35">
      <c r="A5" s="80">
        <v>3</v>
      </c>
      <c r="B5" s="51" t="s">
        <v>6</v>
      </c>
      <c r="C5" s="53" t="s">
        <v>88</v>
      </c>
      <c r="D5" s="56" t="s">
        <v>34</v>
      </c>
      <c r="E5" s="56"/>
      <c r="F5" s="57">
        <f t="shared" si="0"/>
        <v>0</v>
      </c>
      <c r="G5" s="58">
        <f t="shared" si="1"/>
        <v>0</v>
      </c>
      <c r="H5" s="58"/>
      <c r="I5" s="59"/>
      <c r="J5" s="59"/>
      <c r="K5" s="59"/>
      <c r="L5" s="59"/>
      <c r="M5" s="60"/>
    </row>
    <row r="6" spans="1:15" s="61" customFormat="1" x14ac:dyDescent="0.35">
      <c r="A6" s="80">
        <v>4</v>
      </c>
      <c r="B6" s="51" t="s">
        <v>16</v>
      </c>
      <c r="C6" s="53" t="s">
        <v>90</v>
      </c>
      <c r="D6" s="56" t="s">
        <v>37</v>
      </c>
      <c r="E6" s="56"/>
      <c r="F6" s="57">
        <f t="shared" si="0"/>
        <v>0</v>
      </c>
      <c r="G6" s="58">
        <f t="shared" si="1"/>
        <v>0</v>
      </c>
      <c r="H6" s="58"/>
      <c r="I6" s="59"/>
      <c r="J6" s="59"/>
      <c r="K6" s="59"/>
      <c r="L6" s="59"/>
      <c r="M6" s="60"/>
    </row>
    <row r="7" spans="1:15" s="61" customFormat="1" ht="29" x14ac:dyDescent="0.35">
      <c r="A7" s="80">
        <v>5</v>
      </c>
      <c r="B7" s="51" t="s">
        <v>20</v>
      </c>
      <c r="C7" s="53" t="s">
        <v>90</v>
      </c>
      <c r="D7" s="56" t="s">
        <v>35</v>
      </c>
      <c r="E7" s="56"/>
      <c r="F7" s="57">
        <f t="shared" si="0"/>
        <v>0</v>
      </c>
      <c r="G7" s="58">
        <f t="shared" si="1"/>
        <v>0</v>
      </c>
      <c r="H7" s="58"/>
      <c r="I7" s="59"/>
      <c r="J7" s="59"/>
      <c r="K7" s="59"/>
      <c r="L7" s="59"/>
      <c r="M7" s="60"/>
    </row>
    <row r="8" spans="1:15" s="61" customFormat="1" x14ac:dyDescent="0.35">
      <c r="A8" s="80">
        <v>6</v>
      </c>
      <c r="B8" s="51" t="s">
        <v>29</v>
      </c>
      <c r="C8" s="53" t="s">
        <v>90</v>
      </c>
      <c r="D8" s="56" t="s">
        <v>39</v>
      </c>
      <c r="E8" s="56"/>
      <c r="F8" s="57">
        <f t="shared" si="0"/>
        <v>0</v>
      </c>
      <c r="G8" s="58">
        <f t="shared" si="1"/>
        <v>0</v>
      </c>
      <c r="H8" s="58"/>
      <c r="I8" s="59"/>
      <c r="J8" s="59"/>
      <c r="K8" s="59"/>
      <c r="L8" s="59"/>
      <c r="M8" s="60"/>
    </row>
    <row r="9" spans="1:15" s="61" customFormat="1" x14ac:dyDescent="0.35">
      <c r="A9" s="80">
        <v>7</v>
      </c>
      <c r="B9" s="51" t="s">
        <v>27</v>
      </c>
      <c r="C9" s="53" t="s">
        <v>90</v>
      </c>
      <c r="D9" s="56" t="s">
        <v>39</v>
      </c>
      <c r="E9" s="56"/>
      <c r="F9" s="57">
        <f t="shared" si="0"/>
        <v>0</v>
      </c>
      <c r="G9" s="58">
        <f t="shared" si="1"/>
        <v>0</v>
      </c>
      <c r="H9" s="58"/>
      <c r="I9" s="59"/>
      <c r="J9" s="59"/>
      <c r="K9" s="59"/>
      <c r="L9" s="59"/>
      <c r="M9" s="60"/>
    </row>
    <row r="10" spans="1:15" s="61" customFormat="1" x14ac:dyDescent="0.35">
      <c r="A10" s="80">
        <v>8</v>
      </c>
      <c r="B10" s="51" t="s">
        <v>13</v>
      </c>
      <c r="C10" s="53" t="s">
        <v>90</v>
      </c>
      <c r="D10" s="56" t="s">
        <v>36</v>
      </c>
      <c r="E10" s="56"/>
      <c r="F10" s="57">
        <f t="shared" si="0"/>
        <v>0</v>
      </c>
      <c r="G10" s="58">
        <f t="shared" si="1"/>
        <v>0</v>
      </c>
      <c r="H10" s="58"/>
      <c r="I10" s="59"/>
      <c r="J10" s="59"/>
      <c r="K10" s="59"/>
      <c r="L10" s="59"/>
      <c r="M10" s="60"/>
    </row>
    <row r="11" spans="1:15" s="61" customFormat="1" ht="29" x14ac:dyDescent="0.35">
      <c r="A11" s="80">
        <v>9</v>
      </c>
      <c r="B11" s="51" t="s">
        <v>19</v>
      </c>
      <c r="C11" s="54" t="s">
        <v>90</v>
      </c>
      <c r="D11" s="56" t="s">
        <v>37</v>
      </c>
      <c r="E11" s="62"/>
      <c r="F11" s="57">
        <f t="shared" si="0"/>
        <v>0</v>
      </c>
      <c r="G11" s="58">
        <f t="shared" si="1"/>
        <v>0</v>
      </c>
      <c r="H11" s="63"/>
      <c r="I11" s="64"/>
      <c r="J11" s="64"/>
      <c r="K11" s="64"/>
      <c r="L11" s="64"/>
      <c r="M11" s="65"/>
      <c r="O11" s="61" t="s">
        <v>111</v>
      </c>
    </row>
    <row r="12" spans="1:15" s="61" customFormat="1" x14ac:dyDescent="0.35">
      <c r="A12" s="80">
        <v>10</v>
      </c>
      <c r="B12" s="51" t="s">
        <v>101</v>
      </c>
      <c r="C12" s="54" t="s">
        <v>88</v>
      </c>
      <c r="D12" s="56" t="s">
        <v>109</v>
      </c>
      <c r="E12" s="62"/>
      <c r="F12" s="57">
        <f t="shared" si="0"/>
        <v>0</v>
      </c>
      <c r="G12" s="58">
        <f t="shared" si="1"/>
        <v>0</v>
      </c>
      <c r="H12" s="63"/>
      <c r="I12" s="64"/>
      <c r="J12" s="64"/>
      <c r="K12" s="64"/>
      <c r="L12" s="64"/>
      <c r="M12" s="65"/>
      <c r="O12" s="61" t="s">
        <v>135</v>
      </c>
    </row>
    <row r="13" spans="1:15" s="61" customFormat="1" x14ac:dyDescent="0.35">
      <c r="A13" s="80">
        <v>11</v>
      </c>
      <c r="B13" s="51" t="s">
        <v>3</v>
      </c>
      <c r="C13" s="54" t="s">
        <v>92</v>
      </c>
      <c r="D13" s="56" t="s">
        <v>33</v>
      </c>
      <c r="E13" s="62"/>
      <c r="F13" s="57">
        <f t="shared" si="0"/>
        <v>0</v>
      </c>
      <c r="G13" s="58">
        <f t="shared" si="1"/>
        <v>0</v>
      </c>
      <c r="H13" s="63"/>
      <c r="I13" s="64"/>
      <c r="J13" s="64"/>
      <c r="K13" s="64"/>
      <c r="L13" s="64"/>
      <c r="M13" s="65"/>
      <c r="O13" s="61" t="s">
        <v>44</v>
      </c>
    </row>
    <row r="14" spans="1:15" s="61" customFormat="1" x14ac:dyDescent="0.35">
      <c r="A14" s="80">
        <v>12</v>
      </c>
      <c r="B14" s="51" t="s">
        <v>11</v>
      </c>
      <c r="C14" s="54" t="s">
        <v>93</v>
      </c>
      <c r="D14" s="56" t="s">
        <v>35</v>
      </c>
      <c r="E14" s="62"/>
      <c r="F14" s="57">
        <f t="shared" si="0"/>
        <v>0</v>
      </c>
      <c r="G14" s="58">
        <f t="shared" si="1"/>
        <v>0</v>
      </c>
      <c r="H14" s="63"/>
      <c r="I14" s="64"/>
      <c r="J14" s="64"/>
      <c r="K14" s="64"/>
      <c r="L14" s="64"/>
      <c r="M14" s="65"/>
      <c r="O14" s="61" t="s">
        <v>45</v>
      </c>
    </row>
    <row r="15" spans="1:15" s="61" customFormat="1" x14ac:dyDescent="0.35">
      <c r="A15" s="80">
        <v>13</v>
      </c>
      <c r="B15" s="51" t="s">
        <v>1</v>
      </c>
      <c r="C15" s="54" t="s">
        <v>91</v>
      </c>
      <c r="D15" s="62" t="s">
        <v>33</v>
      </c>
      <c r="E15" s="62"/>
      <c r="F15" s="57">
        <f t="shared" si="0"/>
        <v>0</v>
      </c>
      <c r="G15" s="58">
        <f t="shared" si="1"/>
        <v>0</v>
      </c>
      <c r="H15" s="63"/>
      <c r="I15" s="64"/>
      <c r="J15" s="64"/>
      <c r="K15" s="64"/>
      <c r="L15" s="64"/>
      <c r="M15" s="65"/>
    </row>
    <row r="16" spans="1:15" s="61" customFormat="1" x14ac:dyDescent="0.35">
      <c r="A16" s="80">
        <v>14</v>
      </c>
      <c r="B16" s="51" t="s">
        <v>10</v>
      </c>
      <c r="C16" s="54" t="s">
        <v>89</v>
      </c>
      <c r="D16" s="62" t="s">
        <v>35</v>
      </c>
      <c r="E16" s="62"/>
      <c r="F16" s="57">
        <f t="shared" si="0"/>
        <v>0</v>
      </c>
      <c r="G16" s="58">
        <f t="shared" si="1"/>
        <v>0</v>
      </c>
      <c r="H16" s="63"/>
      <c r="I16" s="64"/>
      <c r="J16" s="64"/>
      <c r="K16" s="64"/>
      <c r="L16" s="64"/>
      <c r="M16" s="65"/>
    </row>
    <row r="17" spans="1:15" s="61" customFormat="1" ht="16" x14ac:dyDescent="0.35">
      <c r="A17" s="80">
        <v>15</v>
      </c>
      <c r="B17" s="51" t="s">
        <v>105</v>
      </c>
      <c r="C17" s="54" t="s">
        <v>108</v>
      </c>
      <c r="D17" s="62" t="s">
        <v>109</v>
      </c>
      <c r="E17" s="62"/>
      <c r="F17" s="57">
        <f t="shared" si="0"/>
        <v>0</v>
      </c>
      <c r="G17" s="58">
        <f t="shared" si="1"/>
        <v>0</v>
      </c>
      <c r="H17" s="63"/>
      <c r="I17" s="64"/>
      <c r="J17" s="64"/>
      <c r="K17" s="64"/>
      <c r="L17" s="64"/>
      <c r="M17" s="65"/>
      <c r="O17" s="72"/>
    </row>
    <row r="18" spans="1:15" s="61" customFormat="1" ht="29" x14ac:dyDescent="0.35">
      <c r="A18" s="80">
        <v>16</v>
      </c>
      <c r="B18" s="51" t="s">
        <v>30</v>
      </c>
      <c r="C18" s="54" t="s">
        <v>90</v>
      </c>
      <c r="D18" s="62" t="s">
        <v>40</v>
      </c>
      <c r="E18" s="62"/>
      <c r="F18" s="57">
        <f t="shared" si="0"/>
        <v>0</v>
      </c>
      <c r="G18" s="58">
        <f t="shared" si="1"/>
        <v>0</v>
      </c>
      <c r="H18" s="63"/>
      <c r="I18" s="64"/>
      <c r="J18" s="64"/>
      <c r="K18" s="64"/>
      <c r="L18" s="64"/>
      <c r="M18" s="65"/>
    </row>
    <row r="19" spans="1:15" s="61" customFormat="1" x14ac:dyDescent="0.35">
      <c r="A19" s="80">
        <v>17</v>
      </c>
      <c r="B19" s="51" t="s">
        <v>14</v>
      </c>
      <c r="C19" s="54" t="s">
        <v>92</v>
      </c>
      <c r="D19" s="62" t="s">
        <v>36</v>
      </c>
      <c r="E19" s="62"/>
      <c r="F19" s="57">
        <f t="shared" si="0"/>
        <v>0</v>
      </c>
      <c r="G19" s="58">
        <f t="shared" si="1"/>
        <v>0</v>
      </c>
      <c r="H19" s="63"/>
      <c r="I19" s="64"/>
      <c r="J19" s="64"/>
      <c r="K19" s="64"/>
      <c r="L19" s="64"/>
      <c r="M19" s="65"/>
    </row>
    <row r="20" spans="1:15" s="61" customFormat="1" x14ac:dyDescent="0.35">
      <c r="A20" s="80">
        <v>18</v>
      </c>
      <c r="B20" s="51" t="s">
        <v>102</v>
      </c>
      <c r="C20" s="54" t="s">
        <v>88</v>
      </c>
      <c r="D20" s="62" t="s">
        <v>109</v>
      </c>
      <c r="E20" s="62"/>
      <c r="F20" s="57">
        <f t="shared" si="0"/>
        <v>0</v>
      </c>
      <c r="G20" s="58">
        <f t="shared" si="1"/>
        <v>0</v>
      </c>
      <c r="H20" s="63"/>
      <c r="I20" s="64"/>
      <c r="J20" s="64"/>
      <c r="K20" s="64"/>
      <c r="L20" s="64"/>
      <c r="M20" s="65"/>
    </row>
    <row r="21" spans="1:15" s="61" customFormat="1" x14ac:dyDescent="0.35">
      <c r="A21" s="80">
        <v>19</v>
      </c>
      <c r="B21" s="51" t="s">
        <v>9</v>
      </c>
      <c r="C21" s="54" t="s">
        <v>89</v>
      </c>
      <c r="D21" s="62" t="s">
        <v>35</v>
      </c>
      <c r="E21" s="62"/>
      <c r="F21" s="57">
        <f t="shared" si="0"/>
        <v>0</v>
      </c>
      <c r="G21" s="58">
        <f t="shared" si="1"/>
        <v>0</v>
      </c>
      <c r="H21" s="63"/>
      <c r="I21" s="64"/>
      <c r="J21" s="64"/>
      <c r="K21" s="64"/>
      <c r="L21" s="64"/>
      <c r="M21" s="65"/>
    </row>
    <row r="22" spans="1:15" s="61" customFormat="1" x14ac:dyDescent="0.35">
      <c r="A22" s="80">
        <v>20</v>
      </c>
      <c r="B22" s="51" t="s">
        <v>28</v>
      </c>
      <c r="C22" s="54" t="s">
        <v>89</v>
      </c>
      <c r="D22" s="62" t="s">
        <v>39</v>
      </c>
      <c r="E22" s="62"/>
      <c r="F22" s="57">
        <f t="shared" si="0"/>
        <v>0</v>
      </c>
      <c r="G22" s="58">
        <f t="shared" si="1"/>
        <v>0</v>
      </c>
      <c r="H22" s="63"/>
      <c r="I22" s="64"/>
      <c r="J22" s="64"/>
      <c r="K22" s="64"/>
      <c r="L22" s="64"/>
      <c r="M22" s="65"/>
    </row>
    <row r="23" spans="1:15" s="61" customFormat="1" x14ac:dyDescent="0.35">
      <c r="A23" s="80">
        <v>21</v>
      </c>
      <c r="B23" s="51" t="s">
        <v>107</v>
      </c>
      <c r="C23" s="54" t="s">
        <v>108</v>
      </c>
      <c r="D23" s="62" t="s">
        <v>109</v>
      </c>
      <c r="E23" s="62"/>
      <c r="F23" s="57">
        <f t="shared" si="0"/>
        <v>0</v>
      </c>
      <c r="G23" s="58">
        <f t="shared" si="1"/>
        <v>0</v>
      </c>
      <c r="H23" s="63"/>
      <c r="I23" s="64"/>
      <c r="J23" s="64"/>
      <c r="K23" s="64"/>
      <c r="L23" s="64"/>
      <c r="M23" s="65"/>
    </row>
    <row r="24" spans="1:15" s="61" customFormat="1" x14ac:dyDescent="0.35">
      <c r="A24" s="80">
        <v>22</v>
      </c>
      <c r="B24" s="51" t="s">
        <v>24</v>
      </c>
      <c r="C24" s="54" t="s">
        <v>91</v>
      </c>
      <c r="D24" s="62" t="s">
        <v>37</v>
      </c>
      <c r="E24" s="62"/>
      <c r="F24" s="57">
        <f t="shared" si="0"/>
        <v>0</v>
      </c>
      <c r="G24" s="58">
        <f t="shared" si="1"/>
        <v>0</v>
      </c>
      <c r="H24" s="63"/>
      <c r="I24" s="64"/>
      <c r="J24" s="64"/>
      <c r="K24" s="64"/>
      <c r="L24" s="64"/>
      <c r="M24" s="65"/>
    </row>
    <row r="25" spans="1:15" s="61" customFormat="1" x14ac:dyDescent="0.35">
      <c r="A25" s="80">
        <v>23</v>
      </c>
      <c r="B25" s="51" t="s">
        <v>15</v>
      </c>
      <c r="C25" s="54" t="s">
        <v>89</v>
      </c>
      <c r="D25" s="62" t="s">
        <v>35</v>
      </c>
      <c r="E25" s="62"/>
      <c r="F25" s="57">
        <f t="shared" si="0"/>
        <v>0</v>
      </c>
      <c r="G25" s="58">
        <f t="shared" si="1"/>
        <v>0</v>
      </c>
      <c r="H25" s="63"/>
      <c r="I25" s="64"/>
      <c r="J25" s="64"/>
      <c r="K25" s="64"/>
      <c r="L25" s="64"/>
      <c r="M25" s="65"/>
    </row>
    <row r="26" spans="1:15" s="61" customFormat="1" x14ac:dyDescent="0.35">
      <c r="A26" s="80">
        <v>24</v>
      </c>
      <c r="B26" s="51" t="s">
        <v>12</v>
      </c>
      <c r="C26" s="54" t="s">
        <v>93</v>
      </c>
      <c r="D26" s="62" t="s">
        <v>36</v>
      </c>
      <c r="E26" s="62"/>
      <c r="F26" s="57">
        <f t="shared" si="0"/>
        <v>0</v>
      </c>
      <c r="G26" s="58">
        <f t="shared" si="1"/>
        <v>0</v>
      </c>
      <c r="H26" s="63"/>
      <c r="I26" s="64"/>
      <c r="J26" s="64"/>
      <c r="K26" s="64"/>
      <c r="L26" s="64"/>
      <c r="M26" s="65"/>
    </row>
    <row r="27" spans="1:15" s="61" customFormat="1" x14ac:dyDescent="0.35">
      <c r="A27" s="80">
        <v>25</v>
      </c>
      <c r="B27" s="51" t="s">
        <v>4</v>
      </c>
      <c r="C27" s="54" t="s">
        <v>88</v>
      </c>
      <c r="D27" s="62" t="s">
        <v>33</v>
      </c>
      <c r="E27" s="62"/>
      <c r="F27" s="57">
        <f t="shared" si="0"/>
        <v>0</v>
      </c>
      <c r="G27" s="58">
        <f t="shared" si="1"/>
        <v>0</v>
      </c>
      <c r="H27" s="63"/>
      <c r="I27" s="64"/>
      <c r="J27" s="64"/>
      <c r="K27" s="64"/>
      <c r="L27" s="64"/>
      <c r="M27" s="65"/>
    </row>
    <row r="28" spans="1:15" s="61" customFormat="1" x14ac:dyDescent="0.35">
      <c r="A28" s="80">
        <v>26</v>
      </c>
      <c r="B28" s="51" t="s">
        <v>7</v>
      </c>
      <c r="C28" s="54" t="s">
        <v>89</v>
      </c>
      <c r="D28" s="62" t="s">
        <v>35</v>
      </c>
      <c r="E28" s="62"/>
      <c r="F28" s="57">
        <f t="shared" si="0"/>
        <v>0</v>
      </c>
      <c r="G28" s="58">
        <f t="shared" si="1"/>
        <v>0</v>
      </c>
      <c r="H28" s="63"/>
      <c r="I28" s="64"/>
      <c r="J28" s="64"/>
      <c r="K28" s="64"/>
      <c r="L28" s="64"/>
      <c r="M28" s="65"/>
    </row>
    <row r="29" spans="1:15" s="61" customFormat="1" x14ac:dyDescent="0.35">
      <c r="A29" s="80">
        <v>27</v>
      </c>
      <c r="B29" s="51" t="s">
        <v>103</v>
      </c>
      <c r="C29" s="54" t="s">
        <v>108</v>
      </c>
      <c r="D29" s="62" t="s">
        <v>109</v>
      </c>
      <c r="E29" s="62"/>
      <c r="F29" s="57">
        <f t="shared" si="0"/>
        <v>0</v>
      </c>
      <c r="G29" s="58">
        <f t="shared" si="1"/>
        <v>0</v>
      </c>
      <c r="H29" s="63"/>
      <c r="I29" s="64"/>
      <c r="J29" s="64"/>
      <c r="K29" s="64"/>
      <c r="L29" s="64"/>
      <c r="M29" s="65"/>
    </row>
    <row r="30" spans="1:15" s="61" customFormat="1" x14ac:dyDescent="0.35">
      <c r="A30" s="80">
        <v>28</v>
      </c>
      <c r="B30" s="51" t="s">
        <v>38</v>
      </c>
      <c r="C30" s="54" t="s">
        <v>90</v>
      </c>
      <c r="D30" s="62" t="s">
        <v>36</v>
      </c>
      <c r="E30" s="62"/>
      <c r="F30" s="57">
        <f t="shared" si="0"/>
        <v>0</v>
      </c>
      <c r="G30" s="58">
        <f t="shared" si="1"/>
        <v>0</v>
      </c>
      <c r="H30" s="63"/>
      <c r="I30" s="64"/>
      <c r="J30" s="64"/>
      <c r="K30" s="64"/>
      <c r="L30" s="64"/>
      <c r="M30" s="65"/>
    </row>
    <row r="31" spans="1:15" s="61" customFormat="1" x14ac:dyDescent="0.35">
      <c r="A31" s="80">
        <v>29</v>
      </c>
      <c r="B31" s="51" t="s">
        <v>23</v>
      </c>
      <c r="C31" s="54" t="s">
        <v>90</v>
      </c>
      <c r="D31" s="62" t="s">
        <v>40</v>
      </c>
      <c r="E31" s="62"/>
      <c r="F31" s="57">
        <f t="shared" si="0"/>
        <v>0</v>
      </c>
      <c r="G31" s="58">
        <f t="shared" si="1"/>
        <v>0</v>
      </c>
      <c r="H31" s="63"/>
      <c r="I31" s="64"/>
      <c r="J31" s="64"/>
      <c r="K31" s="64"/>
      <c r="L31" s="64"/>
      <c r="M31" s="65"/>
    </row>
    <row r="32" spans="1:15" s="61" customFormat="1" x14ac:dyDescent="0.35">
      <c r="A32" s="80">
        <v>30</v>
      </c>
      <c r="B32" s="51" t="s">
        <v>18</v>
      </c>
      <c r="C32" s="54" t="s">
        <v>88</v>
      </c>
      <c r="D32" s="62" t="s">
        <v>39</v>
      </c>
      <c r="E32" s="62"/>
      <c r="F32" s="57">
        <f t="shared" si="0"/>
        <v>0</v>
      </c>
      <c r="G32" s="58">
        <f t="shared" si="1"/>
        <v>0</v>
      </c>
      <c r="H32" s="63"/>
      <c r="I32" s="64"/>
      <c r="J32" s="64"/>
      <c r="K32" s="64"/>
      <c r="L32" s="64"/>
      <c r="M32" s="65"/>
    </row>
    <row r="33" spans="1:13" s="61" customFormat="1" x14ac:dyDescent="0.35">
      <c r="A33" s="80">
        <v>31</v>
      </c>
      <c r="B33" s="51" t="s">
        <v>104</v>
      </c>
      <c r="C33" s="54" t="s">
        <v>108</v>
      </c>
      <c r="D33" s="62" t="s">
        <v>109</v>
      </c>
      <c r="E33" s="62"/>
      <c r="F33" s="57">
        <f t="shared" si="0"/>
        <v>0</v>
      </c>
      <c r="G33" s="58">
        <f t="shared" si="1"/>
        <v>0</v>
      </c>
      <c r="H33" s="63"/>
      <c r="I33" s="64"/>
      <c r="J33" s="64"/>
      <c r="K33" s="64"/>
      <c r="L33" s="64"/>
      <c r="M33" s="65"/>
    </row>
    <row r="34" spans="1:13" s="61" customFormat="1" x14ac:dyDescent="0.35">
      <c r="A34" s="80">
        <v>32</v>
      </c>
      <c r="B34" s="51" t="s">
        <v>8</v>
      </c>
      <c r="C34" s="54" t="s">
        <v>93</v>
      </c>
      <c r="D34" s="62" t="s">
        <v>35</v>
      </c>
      <c r="E34" s="62"/>
      <c r="F34" s="57">
        <f t="shared" si="0"/>
        <v>0</v>
      </c>
      <c r="G34" s="58">
        <f t="shared" si="1"/>
        <v>0</v>
      </c>
      <c r="H34" s="63"/>
      <c r="I34" s="64"/>
      <c r="J34" s="64"/>
      <c r="K34" s="64"/>
      <c r="L34" s="64"/>
      <c r="M34" s="65"/>
    </row>
    <row r="35" spans="1:13" s="61" customFormat="1" x14ac:dyDescent="0.35">
      <c r="A35" s="80">
        <v>33</v>
      </c>
      <c r="B35" s="51" t="s">
        <v>26</v>
      </c>
      <c r="C35" s="54" t="s">
        <v>90</v>
      </c>
      <c r="D35" s="62" t="s">
        <v>37</v>
      </c>
      <c r="E35" s="62"/>
      <c r="F35" s="57">
        <f t="shared" si="0"/>
        <v>0</v>
      </c>
      <c r="G35" s="58">
        <f t="shared" si="1"/>
        <v>0</v>
      </c>
      <c r="H35" s="63"/>
      <c r="I35" s="64"/>
      <c r="J35" s="64"/>
      <c r="K35" s="64"/>
      <c r="L35" s="64"/>
      <c r="M35" s="65"/>
    </row>
    <row r="36" spans="1:13" s="61" customFormat="1" x14ac:dyDescent="0.35">
      <c r="A36" s="80">
        <v>34</v>
      </c>
      <c r="B36" s="51" t="s">
        <v>106</v>
      </c>
      <c r="C36" s="54" t="s">
        <v>108</v>
      </c>
      <c r="D36" s="62" t="s">
        <v>109</v>
      </c>
      <c r="E36" s="62"/>
      <c r="F36" s="57">
        <f t="shared" si="0"/>
        <v>0</v>
      </c>
      <c r="G36" s="58">
        <f t="shared" si="1"/>
        <v>0</v>
      </c>
      <c r="H36" s="63"/>
      <c r="I36" s="64"/>
      <c r="J36" s="64"/>
      <c r="K36" s="64"/>
      <c r="L36" s="64"/>
      <c r="M36" s="65"/>
    </row>
    <row r="37" spans="1:13" s="61" customFormat="1" x14ac:dyDescent="0.35">
      <c r="A37" s="80">
        <v>35</v>
      </c>
      <c r="B37" s="51" t="s">
        <v>21</v>
      </c>
      <c r="C37" s="54" t="s">
        <v>90</v>
      </c>
      <c r="D37" s="62" t="s">
        <v>37</v>
      </c>
      <c r="E37" s="62"/>
      <c r="F37" s="57">
        <f t="shared" si="0"/>
        <v>0</v>
      </c>
      <c r="G37" s="58">
        <f t="shared" si="1"/>
        <v>0</v>
      </c>
      <c r="H37" s="63"/>
      <c r="I37" s="64"/>
      <c r="J37" s="64"/>
      <c r="K37" s="64"/>
      <c r="L37" s="64"/>
      <c r="M37" s="65"/>
    </row>
    <row r="38" spans="1:13" s="61" customFormat="1" x14ac:dyDescent="0.35">
      <c r="A38" s="80">
        <v>36</v>
      </c>
      <c r="B38" s="51" t="s">
        <v>5</v>
      </c>
      <c r="C38" s="54" t="s">
        <v>88</v>
      </c>
      <c r="D38" s="62" t="s">
        <v>33</v>
      </c>
      <c r="E38" s="62"/>
      <c r="F38" s="57">
        <f t="shared" si="0"/>
        <v>0</v>
      </c>
      <c r="G38" s="58">
        <f t="shared" si="1"/>
        <v>0</v>
      </c>
      <c r="H38" s="63"/>
      <c r="I38" s="64"/>
      <c r="J38" s="64"/>
      <c r="K38" s="64"/>
      <c r="L38" s="64"/>
      <c r="M38" s="65"/>
    </row>
    <row r="39" spans="1:13" s="61" customFormat="1" x14ac:dyDescent="0.35">
      <c r="A39" s="80">
        <v>37</v>
      </c>
      <c r="B39" s="51" t="s">
        <v>22</v>
      </c>
      <c r="C39" s="54" t="s">
        <v>91</v>
      </c>
      <c r="D39" s="62" t="s">
        <v>37</v>
      </c>
      <c r="E39" s="62"/>
      <c r="F39" s="57">
        <f t="shared" si="0"/>
        <v>0</v>
      </c>
      <c r="G39" s="58">
        <f t="shared" si="1"/>
        <v>0</v>
      </c>
      <c r="H39" s="63"/>
      <c r="I39" s="64"/>
      <c r="J39" s="64"/>
      <c r="K39" s="64"/>
      <c r="L39" s="64"/>
      <c r="M39" s="65"/>
    </row>
    <row r="40" spans="1:13" s="61" customFormat="1" x14ac:dyDescent="0.35">
      <c r="A40" s="80">
        <v>38</v>
      </c>
      <c r="B40" s="51" t="s">
        <v>25</v>
      </c>
      <c r="C40" s="54" t="s">
        <v>91</v>
      </c>
      <c r="D40" s="62" t="s">
        <v>34</v>
      </c>
      <c r="E40" s="62"/>
      <c r="F40" s="57">
        <f t="shared" si="0"/>
        <v>0</v>
      </c>
      <c r="G40" s="58">
        <f t="shared" si="1"/>
        <v>0</v>
      </c>
      <c r="H40" s="63"/>
      <c r="I40" s="64"/>
      <c r="J40" s="64"/>
      <c r="K40" s="64"/>
      <c r="L40" s="64"/>
      <c r="M40" s="65"/>
    </row>
    <row r="41" spans="1:13" s="61" customFormat="1" ht="15" thickBot="1" x14ac:dyDescent="0.4">
      <c r="A41" s="80">
        <v>39</v>
      </c>
      <c r="B41" s="76" t="s">
        <v>17</v>
      </c>
      <c r="C41" s="55" t="s">
        <v>90</v>
      </c>
      <c r="D41" s="66" t="s">
        <v>37</v>
      </c>
      <c r="E41" s="66"/>
      <c r="F41" s="57">
        <f t="shared" si="0"/>
        <v>0</v>
      </c>
      <c r="G41" s="58">
        <f t="shared" si="1"/>
        <v>0</v>
      </c>
      <c r="H41" s="67"/>
      <c r="I41" s="68"/>
      <c r="J41" s="68"/>
      <c r="K41" s="68"/>
      <c r="L41" s="68"/>
      <c r="M41" s="69"/>
    </row>
    <row r="43" spans="1:13" x14ac:dyDescent="0.35">
      <c r="B43" s="53" t="s">
        <v>99</v>
      </c>
    </row>
    <row r="44" spans="1:13" x14ac:dyDescent="0.35">
      <c r="B44" s="75" t="s">
        <v>100</v>
      </c>
    </row>
  </sheetData>
  <sortState xmlns:xlrd2="http://schemas.microsoft.com/office/spreadsheetml/2017/richdata2" ref="A3:F41">
    <sortCondition ref="A3:A41"/>
  </sortState>
  <hyperlinks>
    <hyperlink ref="B44" r:id="rId1" xr:uid="{7C03446F-6DFF-4869-A72D-46149FDB36B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06731-3B38-450A-BF17-6B0174F5BDF9}">
  <dimension ref="A1:O44"/>
  <sheetViews>
    <sheetView workbookViewId="0">
      <selection activeCell="H3" sqref="H3:L41"/>
    </sheetView>
  </sheetViews>
  <sheetFormatPr defaultRowHeight="14.5" x14ac:dyDescent="0.35"/>
  <cols>
    <col min="1" max="1" width="4.453125" style="79" customWidth="1"/>
    <col min="2" max="2" width="45.6328125" style="52" customWidth="1"/>
    <col min="3" max="3" width="8.1796875" hidden="1" customWidth="1"/>
    <col min="4" max="4" width="5.1796875" hidden="1" customWidth="1"/>
    <col min="5" max="5" width="1" hidden="1" customWidth="1"/>
    <col min="6" max="6" width="4.453125" hidden="1" customWidth="1"/>
    <col min="7" max="7" width="4.6328125" hidden="1" customWidth="1"/>
    <col min="8" max="12" width="4.6328125" customWidth="1"/>
    <col min="13" max="13" width="53.54296875" customWidth="1"/>
    <col min="14" max="14" width="4.453125" customWidth="1"/>
    <col min="15" max="15" width="58.81640625" customWidth="1"/>
  </cols>
  <sheetData>
    <row r="1" spans="1:15" x14ac:dyDescent="0.35">
      <c r="A1" s="77"/>
      <c r="B1" s="49" t="s">
        <v>43</v>
      </c>
      <c r="C1" s="4"/>
      <c r="D1" s="4" t="s">
        <v>32</v>
      </c>
      <c r="E1" s="4"/>
      <c r="F1" s="4"/>
      <c r="G1" s="2">
        <v>0</v>
      </c>
      <c r="H1" s="2">
        <v>0</v>
      </c>
      <c r="I1" s="2">
        <v>1</v>
      </c>
      <c r="J1" s="2">
        <v>2</v>
      </c>
      <c r="K1" s="2">
        <v>3</v>
      </c>
      <c r="L1" s="2">
        <v>4</v>
      </c>
      <c r="M1" s="46" t="s">
        <v>86</v>
      </c>
    </row>
    <row r="2" spans="1:15" ht="233.5" thickBot="1" x14ac:dyDescent="0.4">
      <c r="A2" s="78"/>
      <c r="B2" s="50"/>
      <c r="C2" s="5"/>
      <c r="D2" s="5"/>
      <c r="E2" s="5"/>
      <c r="F2" s="6"/>
      <c r="G2" s="73"/>
      <c r="H2" s="73" t="s">
        <v>121</v>
      </c>
      <c r="I2" s="73" t="s">
        <v>122</v>
      </c>
      <c r="J2" s="74" t="s">
        <v>123</v>
      </c>
      <c r="K2" s="74" t="s">
        <v>124</v>
      </c>
      <c r="L2" s="74" t="s">
        <v>125</v>
      </c>
      <c r="M2" s="47" t="s">
        <v>87</v>
      </c>
      <c r="O2" t="s">
        <v>41</v>
      </c>
    </row>
    <row r="3" spans="1:15" s="61" customFormat="1" x14ac:dyDescent="0.35">
      <c r="A3" s="80">
        <v>1</v>
      </c>
      <c r="B3" s="51" t="s">
        <v>31</v>
      </c>
      <c r="C3" s="53" t="s">
        <v>91</v>
      </c>
      <c r="D3" s="56" t="s">
        <v>40</v>
      </c>
      <c r="E3" s="56"/>
      <c r="F3" s="57">
        <f>IF(ISNA(MATCH("x",$H3:$L3,0)),0,MATCH("x",$H3:$L3,0))</f>
        <v>0</v>
      </c>
      <c r="G3" s="58">
        <f>IF(F3=0,0,F3-1)</f>
        <v>0</v>
      </c>
      <c r="H3" s="58"/>
      <c r="I3" s="59"/>
      <c r="J3" s="59"/>
      <c r="K3" s="59"/>
      <c r="L3" s="59"/>
      <c r="M3" s="60"/>
    </row>
    <row r="4" spans="1:15" s="61" customFormat="1" x14ac:dyDescent="0.35">
      <c r="A4" s="80">
        <v>2</v>
      </c>
      <c r="B4" s="51" t="s">
        <v>2</v>
      </c>
      <c r="C4" s="53" t="s">
        <v>88</v>
      </c>
      <c r="D4" s="56" t="s">
        <v>33</v>
      </c>
      <c r="E4" s="56"/>
      <c r="F4" s="57">
        <f t="shared" ref="F4:F41" si="0">IF(ISNA(MATCH("x",$H4:$L4,0)),0,MATCH("x",$H4:$L4,0))</f>
        <v>0</v>
      </c>
      <c r="G4" s="58">
        <f t="shared" ref="G4:G41" si="1">IF(F4=0,0,F4-1)</f>
        <v>0</v>
      </c>
      <c r="H4" s="58"/>
      <c r="I4" s="59"/>
      <c r="J4" s="59"/>
      <c r="K4" s="59"/>
      <c r="L4" s="59"/>
      <c r="M4" s="60"/>
    </row>
    <row r="5" spans="1:15" s="61" customFormat="1" x14ac:dyDescent="0.35">
      <c r="A5" s="80">
        <v>3</v>
      </c>
      <c r="B5" s="51" t="s">
        <v>6</v>
      </c>
      <c r="C5" s="53" t="s">
        <v>88</v>
      </c>
      <c r="D5" s="56" t="s">
        <v>34</v>
      </c>
      <c r="E5" s="56"/>
      <c r="F5" s="57">
        <f t="shared" si="0"/>
        <v>0</v>
      </c>
      <c r="G5" s="58">
        <f t="shared" si="1"/>
        <v>0</v>
      </c>
      <c r="H5" s="58"/>
      <c r="I5" s="59"/>
      <c r="J5" s="59"/>
      <c r="K5" s="59"/>
      <c r="L5" s="59"/>
      <c r="M5" s="60"/>
    </row>
    <row r="6" spans="1:15" s="61" customFormat="1" x14ac:dyDescent="0.35">
      <c r="A6" s="80">
        <v>4</v>
      </c>
      <c r="B6" s="51" t="s">
        <v>16</v>
      </c>
      <c r="C6" s="53" t="s">
        <v>90</v>
      </c>
      <c r="D6" s="56" t="s">
        <v>37</v>
      </c>
      <c r="E6" s="56"/>
      <c r="F6" s="57">
        <f t="shared" si="0"/>
        <v>0</v>
      </c>
      <c r="G6" s="58">
        <f t="shared" si="1"/>
        <v>0</v>
      </c>
      <c r="H6" s="58"/>
      <c r="I6" s="59"/>
      <c r="J6" s="59"/>
      <c r="K6" s="59"/>
      <c r="L6" s="59"/>
      <c r="M6" s="60"/>
    </row>
    <row r="7" spans="1:15" s="61" customFormat="1" ht="29" x14ac:dyDescent="0.35">
      <c r="A7" s="80">
        <v>5</v>
      </c>
      <c r="B7" s="51" t="s">
        <v>20</v>
      </c>
      <c r="C7" s="53" t="s">
        <v>90</v>
      </c>
      <c r="D7" s="56" t="s">
        <v>35</v>
      </c>
      <c r="E7" s="56"/>
      <c r="F7" s="57">
        <f t="shared" si="0"/>
        <v>0</v>
      </c>
      <c r="G7" s="58">
        <f t="shared" si="1"/>
        <v>0</v>
      </c>
      <c r="H7" s="58"/>
      <c r="I7" s="59"/>
      <c r="J7" s="59"/>
      <c r="K7" s="59"/>
      <c r="L7" s="59"/>
      <c r="M7" s="60"/>
    </row>
    <row r="8" spans="1:15" s="61" customFormat="1" x14ac:dyDescent="0.35">
      <c r="A8" s="80">
        <v>6</v>
      </c>
      <c r="B8" s="51" t="s">
        <v>29</v>
      </c>
      <c r="C8" s="53" t="s">
        <v>90</v>
      </c>
      <c r="D8" s="56" t="s">
        <v>39</v>
      </c>
      <c r="E8" s="56"/>
      <c r="F8" s="57">
        <f t="shared" si="0"/>
        <v>0</v>
      </c>
      <c r="G8" s="58">
        <f t="shared" si="1"/>
        <v>0</v>
      </c>
      <c r="H8" s="58"/>
      <c r="I8" s="59"/>
      <c r="J8" s="59"/>
      <c r="K8" s="59"/>
      <c r="L8" s="59"/>
      <c r="M8" s="60"/>
    </row>
    <row r="9" spans="1:15" s="61" customFormat="1" x14ac:dyDescent="0.35">
      <c r="A9" s="80">
        <v>7</v>
      </c>
      <c r="B9" s="51" t="s">
        <v>27</v>
      </c>
      <c r="C9" s="53" t="s">
        <v>90</v>
      </c>
      <c r="D9" s="56" t="s">
        <v>39</v>
      </c>
      <c r="E9" s="56"/>
      <c r="F9" s="57">
        <f t="shared" si="0"/>
        <v>0</v>
      </c>
      <c r="G9" s="58">
        <f t="shared" si="1"/>
        <v>0</v>
      </c>
      <c r="H9" s="58"/>
      <c r="I9" s="59"/>
      <c r="J9" s="59"/>
      <c r="K9" s="59"/>
      <c r="L9" s="59"/>
      <c r="M9" s="60"/>
    </row>
    <row r="10" spans="1:15" s="61" customFormat="1" x14ac:dyDescent="0.35">
      <c r="A10" s="80">
        <v>8</v>
      </c>
      <c r="B10" s="51" t="s">
        <v>13</v>
      </c>
      <c r="C10" s="53" t="s">
        <v>90</v>
      </c>
      <c r="D10" s="56" t="s">
        <v>36</v>
      </c>
      <c r="E10" s="56"/>
      <c r="F10" s="57">
        <f t="shared" si="0"/>
        <v>0</v>
      </c>
      <c r="G10" s="58">
        <f t="shared" si="1"/>
        <v>0</v>
      </c>
      <c r="H10" s="58"/>
      <c r="I10" s="59"/>
      <c r="J10" s="59"/>
      <c r="K10" s="59"/>
      <c r="L10" s="59"/>
      <c r="M10" s="60"/>
    </row>
    <row r="11" spans="1:15" s="61" customFormat="1" ht="29" x14ac:dyDescent="0.35">
      <c r="A11" s="80">
        <v>9</v>
      </c>
      <c r="B11" s="51" t="s">
        <v>19</v>
      </c>
      <c r="C11" s="54" t="s">
        <v>90</v>
      </c>
      <c r="D11" s="56" t="s">
        <v>37</v>
      </c>
      <c r="E11" s="62"/>
      <c r="F11" s="57">
        <f t="shared" si="0"/>
        <v>0</v>
      </c>
      <c r="G11" s="58">
        <f t="shared" si="1"/>
        <v>0</v>
      </c>
      <c r="H11" s="63"/>
      <c r="I11" s="64"/>
      <c r="J11" s="64"/>
      <c r="K11" s="64"/>
      <c r="L11" s="64"/>
      <c r="M11" s="65"/>
      <c r="O11" s="61" t="s">
        <v>111</v>
      </c>
    </row>
    <row r="12" spans="1:15" s="61" customFormat="1" x14ac:dyDescent="0.35">
      <c r="A12" s="80">
        <v>10</v>
      </c>
      <c r="B12" s="51" t="s">
        <v>101</v>
      </c>
      <c r="C12" s="54" t="s">
        <v>88</v>
      </c>
      <c r="D12" s="56" t="s">
        <v>109</v>
      </c>
      <c r="E12" s="62"/>
      <c r="F12" s="57">
        <f t="shared" si="0"/>
        <v>0</v>
      </c>
      <c r="G12" s="58">
        <f t="shared" si="1"/>
        <v>0</v>
      </c>
      <c r="H12" s="63"/>
      <c r="I12" s="64"/>
      <c r="J12" s="64"/>
      <c r="K12" s="64"/>
      <c r="L12" s="64"/>
      <c r="M12" s="65"/>
      <c r="O12" s="61" t="s">
        <v>42</v>
      </c>
    </row>
    <row r="13" spans="1:15" s="61" customFormat="1" x14ac:dyDescent="0.35">
      <c r="A13" s="80">
        <v>11</v>
      </c>
      <c r="B13" s="51" t="s">
        <v>3</v>
      </c>
      <c r="C13" s="54" t="s">
        <v>92</v>
      </c>
      <c r="D13" s="56" t="s">
        <v>33</v>
      </c>
      <c r="E13" s="62"/>
      <c r="F13" s="57">
        <f t="shared" si="0"/>
        <v>0</v>
      </c>
      <c r="G13" s="58">
        <f t="shared" si="1"/>
        <v>0</v>
      </c>
      <c r="H13" s="63"/>
      <c r="I13" s="64"/>
      <c r="J13" s="64"/>
      <c r="K13" s="64"/>
      <c r="L13" s="64"/>
      <c r="M13" s="65"/>
      <c r="O13" s="61" t="s">
        <v>44</v>
      </c>
    </row>
    <row r="14" spans="1:15" s="61" customFormat="1" x14ac:dyDescent="0.35">
      <c r="A14" s="80">
        <v>12</v>
      </c>
      <c r="B14" s="51" t="s">
        <v>11</v>
      </c>
      <c r="C14" s="54" t="s">
        <v>93</v>
      </c>
      <c r="D14" s="56" t="s">
        <v>35</v>
      </c>
      <c r="E14" s="62"/>
      <c r="F14" s="57">
        <f t="shared" si="0"/>
        <v>0</v>
      </c>
      <c r="G14" s="58">
        <f t="shared" si="1"/>
        <v>0</v>
      </c>
      <c r="H14" s="63"/>
      <c r="I14" s="64"/>
      <c r="J14" s="64"/>
      <c r="K14" s="64"/>
      <c r="L14" s="64"/>
      <c r="M14" s="65"/>
      <c r="O14" s="61" t="s">
        <v>45</v>
      </c>
    </row>
    <row r="15" spans="1:15" s="61" customFormat="1" x14ac:dyDescent="0.35">
      <c r="A15" s="80">
        <v>13</v>
      </c>
      <c r="B15" s="51" t="s">
        <v>1</v>
      </c>
      <c r="C15" s="54" t="s">
        <v>91</v>
      </c>
      <c r="D15" s="62" t="s">
        <v>33</v>
      </c>
      <c r="E15" s="62"/>
      <c r="F15" s="57">
        <f t="shared" si="0"/>
        <v>0</v>
      </c>
      <c r="G15" s="58">
        <f t="shared" si="1"/>
        <v>0</v>
      </c>
      <c r="H15" s="63"/>
      <c r="I15" s="64"/>
      <c r="J15" s="64"/>
      <c r="K15" s="64"/>
      <c r="L15" s="64"/>
      <c r="M15" s="65"/>
    </row>
    <row r="16" spans="1:15" s="61" customFormat="1" x14ac:dyDescent="0.35">
      <c r="A16" s="80">
        <v>14</v>
      </c>
      <c r="B16" s="51" t="s">
        <v>10</v>
      </c>
      <c r="C16" s="54" t="s">
        <v>89</v>
      </c>
      <c r="D16" s="62" t="s">
        <v>35</v>
      </c>
      <c r="E16" s="62"/>
      <c r="F16" s="57">
        <f t="shared" si="0"/>
        <v>0</v>
      </c>
      <c r="G16" s="58">
        <f t="shared" si="1"/>
        <v>0</v>
      </c>
      <c r="H16" s="63"/>
      <c r="I16" s="64"/>
      <c r="J16" s="64"/>
      <c r="K16" s="64"/>
      <c r="L16" s="64"/>
      <c r="M16" s="65"/>
    </row>
    <row r="17" spans="1:15" s="61" customFormat="1" ht="16" x14ac:dyDescent="0.35">
      <c r="A17" s="80">
        <v>15</v>
      </c>
      <c r="B17" s="51" t="s">
        <v>105</v>
      </c>
      <c r="C17" s="54" t="s">
        <v>108</v>
      </c>
      <c r="D17" s="62" t="s">
        <v>109</v>
      </c>
      <c r="E17" s="62"/>
      <c r="F17" s="57">
        <f t="shared" si="0"/>
        <v>0</v>
      </c>
      <c r="G17" s="58">
        <f t="shared" si="1"/>
        <v>0</v>
      </c>
      <c r="H17" s="63"/>
      <c r="I17" s="64"/>
      <c r="J17" s="64"/>
      <c r="K17" s="64"/>
      <c r="L17" s="64"/>
      <c r="M17" s="65"/>
      <c r="O17" s="72"/>
    </row>
    <row r="18" spans="1:15" s="61" customFormat="1" ht="29" x14ac:dyDescent="0.35">
      <c r="A18" s="80">
        <v>16</v>
      </c>
      <c r="B18" s="51" t="s">
        <v>30</v>
      </c>
      <c r="C18" s="54" t="s">
        <v>90</v>
      </c>
      <c r="D18" s="62" t="s">
        <v>40</v>
      </c>
      <c r="E18" s="62"/>
      <c r="F18" s="57">
        <f t="shared" si="0"/>
        <v>0</v>
      </c>
      <c r="G18" s="58">
        <f t="shared" si="1"/>
        <v>0</v>
      </c>
      <c r="H18" s="63"/>
      <c r="I18" s="64"/>
      <c r="J18" s="64"/>
      <c r="K18" s="64"/>
      <c r="L18" s="64"/>
      <c r="M18" s="65"/>
    </row>
    <row r="19" spans="1:15" s="61" customFormat="1" x14ac:dyDescent="0.35">
      <c r="A19" s="80">
        <v>17</v>
      </c>
      <c r="B19" s="51" t="s">
        <v>14</v>
      </c>
      <c r="C19" s="54" t="s">
        <v>92</v>
      </c>
      <c r="D19" s="62" t="s">
        <v>36</v>
      </c>
      <c r="E19" s="62"/>
      <c r="F19" s="57">
        <f t="shared" si="0"/>
        <v>0</v>
      </c>
      <c r="G19" s="58">
        <f t="shared" si="1"/>
        <v>0</v>
      </c>
      <c r="H19" s="63"/>
      <c r="I19" s="64"/>
      <c r="J19" s="64"/>
      <c r="K19" s="64"/>
      <c r="L19" s="64"/>
      <c r="M19" s="65"/>
    </row>
    <row r="20" spans="1:15" s="61" customFormat="1" x14ac:dyDescent="0.35">
      <c r="A20" s="80">
        <v>18</v>
      </c>
      <c r="B20" s="51" t="s">
        <v>102</v>
      </c>
      <c r="C20" s="54" t="s">
        <v>88</v>
      </c>
      <c r="D20" s="62" t="s">
        <v>109</v>
      </c>
      <c r="E20" s="62"/>
      <c r="F20" s="57">
        <f t="shared" si="0"/>
        <v>0</v>
      </c>
      <c r="G20" s="58">
        <f t="shared" si="1"/>
        <v>0</v>
      </c>
      <c r="H20" s="63"/>
      <c r="I20" s="64"/>
      <c r="J20" s="64"/>
      <c r="K20" s="64"/>
      <c r="L20" s="64"/>
      <c r="M20" s="65"/>
    </row>
    <row r="21" spans="1:15" s="61" customFormat="1" x14ac:dyDescent="0.35">
      <c r="A21" s="80">
        <v>19</v>
      </c>
      <c r="B21" s="51" t="s">
        <v>9</v>
      </c>
      <c r="C21" s="54" t="s">
        <v>89</v>
      </c>
      <c r="D21" s="62" t="s">
        <v>35</v>
      </c>
      <c r="E21" s="62"/>
      <c r="F21" s="57">
        <f t="shared" si="0"/>
        <v>0</v>
      </c>
      <c r="G21" s="58">
        <f t="shared" si="1"/>
        <v>0</v>
      </c>
      <c r="H21" s="63"/>
      <c r="I21" s="64"/>
      <c r="J21" s="64"/>
      <c r="K21" s="64"/>
      <c r="L21" s="64"/>
      <c r="M21" s="65"/>
    </row>
    <row r="22" spans="1:15" s="61" customFormat="1" x14ac:dyDescent="0.35">
      <c r="A22" s="80">
        <v>20</v>
      </c>
      <c r="B22" s="51" t="s">
        <v>28</v>
      </c>
      <c r="C22" s="54" t="s">
        <v>89</v>
      </c>
      <c r="D22" s="62" t="s">
        <v>39</v>
      </c>
      <c r="E22" s="62"/>
      <c r="F22" s="57">
        <f t="shared" si="0"/>
        <v>0</v>
      </c>
      <c r="G22" s="58">
        <f t="shared" si="1"/>
        <v>0</v>
      </c>
      <c r="H22" s="63"/>
      <c r="I22" s="64"/>
      <c r="J22" s="64"/>
      <c r="K22" s="64"/>
      <c r="L22" s="64"/>
      <c r="M22" s="65"/>
    </row>
    <row r="23" spans="1:15" s="61" customFormat="1" x14ac:dyDescent="0.35">
      <c r="A23" s="80">
        <v>21</v>
      </c>
      <c r="B23" s="51" t="s">
        <v>107</v>
      </c>
      <c r="C23" s="54" t="s">
        <v>108</v>
      </c>
      <c r="D23" s="62" t="s">
        <v>109</v>
      </c>
      <c r="E23" s="62"/>
      <c r="F23" s="57">
        <f t="shared" si="0"/>
        <v>0</v>
      </c>
      <c r="G23" s="58">
        <f t="shared" si="1"/>
        <v>0</v>
      </c>
      <c r="H23" s="63"/>
      <c r="I23" s="64"/>
      <c r="J23" s="64"/>
      <c r="K23" s="64"/>
      <c r="L23" s="64"/>
      <c r="M23" s="65"/>
    </row>
    <row r="24" spans="1:15" s="61" customFormat="1" x14ac:dyDescent="0.35">
      <c r="A24" s="80">
        <v>22</v>
      </c>
      <c r="B24" s="51" t="s">
        <v>24</v>
      </c>
      <c r="C24" s="54" t="s">
        <v>91</v>
      </c>
      <c r="D24" s="62" t="s">
        <v>37</v>
      </c>
      <c r="E24" s="62"/>
      <c r="F24" s="57">
        <f t="shared" si="0"/>
        <v>0</v>
      </c>
      <c r="G24" s="58">
        <f t="shared" si="1"/>
        <v>0</v>
      </c>
      <c r="H24" s="63"/>
      <c r="I24" s="64"/>
      <c r="J24" s="64"/>
      <c r="K24" s="64"/>
      <c r="L24" s="64"/>
      <c r="M24" s="65"/>
    </row>
    <row r="25" spans="1:15" s="61" customFormat="1" x14ac:dyDescent="0.35">
      <c r="A25" s="80">
        <v>23</v>
      </c>
      <c r="B25" s="51" t="s">
        <v>15</v>
      </c>
      <c r="C25" s="54" t="s">
        <v>89</v>
      </c>
      <c r="D25" s="62" t="s">
        <v>35</v>
      </c>
      <c r="E25" s="62"/>
      <c r="F25" s="57">
        <f t="shared" si="0"/>
        <v>0</v>
      </c>
      <c r="G25" s="58">
        <f t="shared" si="1"/>
        <v>0</v>
      </c>
      <c r="H25" s="63"/>
      <c r="I25" s="64"/>
      <c r="J25" s="64"/>
      <c r="K25" s="64"/>
      <c r="L25" s="64"/>
      <c r="M25" s="65"/>
    </row>
    <row r="26" spans="1:15" s="61" customFormat="1" x14ac:dyDescent="0.35">
      <c r="A26" s="80">
        <v>24</v>
      </c>
      <c r="B26" s="51" t="s">
        <v>12</v>
      </c>
      <c r="C26" s="54" t="s">
        <v>93</v>
      </c>
      <c r="D26" s="62" t="s">
        <v>36</v>
      </c>
      <c r="E26" s="62"/>
      <c r="F26" s="57">
        <f t="shared" si="0"/>
        <v>0</v>
      </c>
      <c r="G26" s="58">
        <f t="shared" si="1"/>
        <v>0</v>
      </c>
      <c r="H26" s="63"/>
      <c r="I26" s="64"/>
      <c r="J26" s="64"/>
      <c r="K26" s="64"/>
      <c r="L26" s="64"/>
      <c r="M26" s="65"/>
    </row>
    <row r="27" spans="1:15" s="61" customFormat="1" x14ac:dyDescent="0.35">
      <c r="A27" s="80">
        <v>25</v>
      </c>
      <c r="B27" s="51" t="s">
        <v>4</v>
      </c>
      <c r="C27" s="54" t="s">
        <v>88</v>
      </c>
      <c r="D27" s="62" t="s">
        <v>33</v>
      </c>
      <c r="E27" s="62"/>
      <c r="F27" s="57">
        <f t="shared" si="0"/>
        <v>0</v>
      </c>
      <c r="G27" s="58">
        <f t="shared" si="1"/>
        <v>0</v>
      </c>
      <c r="H27" s="63"/>
      <c r="I27" s="64"/>
      <c r="J27" s="64"/>
      <c r="K27" s="64"/>
      <c r="L27" s="64"/>
      <c r="M27" s="65"/>
    </row>
    <row r="28" spans="1:15" s="61" customFormat="1" x14ac:dyDescent="0.35">
      <c r="A28" s="80">
        <v>26</v>
      </c>
      <c r="B28" s="51" t="s">
        <v>7</v>
      </c>
      <c r="C28" s="54" t="s">
        <v>89</v>
      </c>
      <c r="D28" s="62" t="s">
        <v>35</v>
      </c>
      <c r="E28" s="62"/>
      <c r="F28" s="57">
        <f t="shared" si="0"/>
        <v>0</v>
      </c>
      <c r="G28" s="58">
        <f t="shared" si="1"/>
        <v>0</v>
      </c>
      <c r="H28" s="63"/>
      <c r="I28" s="64"/>
      <c r="J28" s="64"/>
      <c r="K28" s="64"/>
      <c r="L28" s="64"/>
      <c r="M28" s="65"/>
    </row>
    <row r="29" spans="1:15" s="61" customFormat="1" x14ac:dyDescent="0.35">
      <c r="A29" s="80">
        <v>27</v>
      </c>
      <c r="B29" s="51" t="s">
        <v>103</v>
      </c>
      <c r="C29" s="54" t="s">
        <v>108</v>
      </c>
      <c r="D29" s="62" t="s">
        <v>109</v>
      </c>
      <c r="E29" s="62"/>
      <c r="F29" s="57">
        <f t="shared" si="0"/>
        <v>0</v>
      </c>
      <c r="G29" s="58">
        <f t="shared" si="1"/>
        <v>0</v>
      </c>
      <c r="H29" s="63"/>
      <c r="I29" s="64"/>
      <c r="J29" s="64"/>
      <c r="K29" s="64"/>
      <c r="L29" s="64"/>
      <c r="M29" s="65"/>
    </row>
    <row r="30" spans="1:15" s="61" customFormat="1" x14ac:dyDescent="0.35">
      <c r="A30" s="80">
        <v>28</v>
      </c>
      <c r="B30" s="51" t="s">
        <v>38</v>
      </c>
      <c r="C30" s="54" t="s">
        <v>90</v>
      </c>
      <c r="D30" s="62" t="s">
        <v>36</v>
      </c>
      <c r="E30" s="62"/>
      <c r="F30" s="57">
        <f t="shared" si="0"/>
        <v>0</v>
      </c>
      <c r="G30" s="58">
        <f t="shared" si="1"/>
        <v>0</v>
      </c>
      <c r="H30" s="63"/>
      <c r="I30" s="64"/>
      <c r="J30" s="64"/>
      <c r="K30" s="64"/>
      <c r="L30" s="64"/>
      <c r="M30" s="65"/>
    </row>
    <row r="31" spans="1:15" s="61" customFormat="1" x14ac:dyDescent="0.35">
      <c r="A31" s="80">
        <v>29</v>
      </c>
      <c r="B31" s="51" t="s">
        <v>23</v>
      </c>
      <c r="C31" s="54" t="s">
        <v>90</v>
      </c>
      <c r="D31" s="62" t="s">
        <v>40</v>
      </c>
      <c r="E31" s="62"/>
      <c r="F31" s="57">
        <f t="shared" si="0"/>
        <v>0</v>
      </c>
      <c r="G31" s="58">
        <f t="shared" si="1"/>
        <v>0</v>
      </c>
      <c r="H31" s="63"/>
      <c r="I31" s="64"/>
      <c r="J31" s="64"/>
      <c r="K31" s="64"/>
      <c r="L31" s="64"/>
      <c r="M31" s="65"/>
    </row>
    <row r="32" spans="1:15" s="61" customFormat="1" x14ac:dyDescent="0.35">
      <c r="A32" s="80">
        <v>30</v>
      </c>
      <c r="B32" s="51" t="s">
        <v>18</v>
      </c>
      <c r="C32" s="54" t="s">
        <v>88</v>
      </c>
      <c r="D32" s="62" t="s">
        <v>39</v>
      </c>
      <c r="E32" s="62"/>
      <c r="F32" s="57">
        <f t="shared" si="0"/>
        <v>0</v>
      </c>
      <c r="G32" s="58">
        <f t="shared" si="1"/>
        <v>0</v>
      </c>
      <c r="H32" s="63"/>
      <c r="I32" s="64"/>
      <c r="J32" s="64"/>
      <c r="K32" s="64"/>
      <c r="L32" s="64"/>
      <c r="M32" s="65"/>
    </row>
    <row r="33" spans="1:13" s="61" customFormat="1" x14ac:dyDescent="0.35">
      <c r="A33" s="80">
        <v>31</v>
      </c>
      <c r="B33" s="51" t="s">
        <v>104</v>
      </c>
      <c r="C33" s="54" t="s">
        <v>108</v>
      </c>
      <c r="D33" s="62" t="s">
        <v>109</v>
      </c>
      <c r="E33" s="62"/>
      <c r="F33" s="57">
        <f t="shared" si="0"/>
        <v>0</v>
      </c>
      <c r="G33" s="58">
        <f t="shared" si="1"/>
        <v>0</v>
      </c>
      <c r="H33" s="63"/>
      <c r="I33" s="64"/>
      <c r="J33" s="64"/>
      <c r="K33" s="64"/>
      <c r="L33" s="64"/>
      <c r="M33" s="65"/>
    </row>
    <row r="34" spans="1:13" s="61" customFormat="1" x14ac:dyDescent="0.35">
      <c r="A34" s="80">
        <v>32</v>
      </c>
      <c r="B34" s="51" t="s">
        <v>8</v>
      </c>
      <c r="C34" s="54" t="s">
        <v>93</v>
      </c>
      <c r="D34" s="62" t="s">
        <v>35</v>
      </c>
      <c r="E34" s="62"/>
      <c r="F34" s="57">
        <f t="shared" si="0"/>
        <v>0</v>
      </c>
      <c r="G34" s="58">
        <f t="shared" si="1"/>
        <v>0</v>
      </c>
      <c r="H34" s="63"/>
      <c r="I34" s="64"/>
      <c r="J34" s="64"/>
      <c r="K34" s="64"/>
      <c r="L34" s="64"/>
      <c r="M34" s="65"/>
    </row>
    <row r="35" spans="1:13" s="61" customFormat="1" x14ac:dyDescent="0.35">
      <c r="A35" s="80">
        <v>33</v>
      </c>
      <c r="B35" s="51" t="s">
        <v>26</v>
      </c>
      <c r="C35" s="54" t="s">
        <v>90</v>
      </c>
      <c r="D35" s="62" t="s">
        <v>37</v>
      </c>
      <c r="E35" s="62"/>
      <c r="F35" s="57">
        <f t="shared" si="0"/>
        <v>0</v>
      </c>
      <c r="G35" s="58">
        <f t="shared" si="1"/>
        <v>0</v>
      </c>
      <c r="H35" s="63"/>
      <c r="I35" s="64"/>
      <c r="J35" s="64"/>
      <c r="K35" s="64"/>
      <c r="L35" s="64"/>
      <c r="M35" s="65"/>
    </row>
    <row r="36" spans="1:13" s="61" customFormat="1" x14ac:dyDescent="0.35">
      <c r="A36" s="80">
        <v>34</v>
      </c>
      <c r="B36" s="51" t="s">
        <v>106</v>
      </c>
      <c r="C36" s="54" t="s">
        <v>108</v>
      </c>
      <c r="D36" s="62" t="s">
        <v>109</v>
      </c>
      <c r="E36" s="62"/>
      <c r="F36" s="57">
        <f t="shared" si="0"/>
        <v>0</v>
      </c>
      <c r="G36" s="58">
        <f t="shared" si="1"/>
        <v>0</v>
      </c>
      <c r="H36" s="63"/>
      <c r="I36" s="64"/>
      <c r="J36" s="64"/>
      <c r="K36" s="64"/>
      <c r="L36" s="64"/>
      <c r="M36" s="65"/>
    </row>
    <row r="37" spans="1:13" s="61" customFormat="1" x14ac:dyDescent="0.35">
      <c r="A37" s="80">
        <v>35</v>
      </c>
      <c r="B37" s="51" t="s">
        <v>21</v>
      </c>
      <c r="C37" s="54" t="s">
        <v>90</v>
      </c>
      <c r="D37" s="62" t="s">
        <v>37</v>
      </c>
      <c r="E37" s="62"/>
      <c r="F37" s="57">
        <f t="shared" si="0"/>
        <v>0</v>
      </c>
      <c r="G37" s="58">
        <f t="shared" si="1"/>
        <v>0</v>
      </c>
      <c r="H37" s="63"/>
      <c r="I37" s="64"/>
      <c r="J37" s="64"/>
      <c r="K37" s="64"/>
      <c r="L37" s="64"/>
      <c r="M37" s="65"/>
    </row>
    <row r="38" spans="1:13" s="61" customFormat="1" x14ac:dyDescent="0.35">
      <c r="A38" s="80">
        <v>36</v>
      </c>
      <c r="B38" s="51" t="s">
        <v>5</v>
      </c>
      <c r="C38" s="54" t="s">
        <v>88</v>
      </c>
      <c r="D38" s="62" t="s">
        <v>33</v>
      </c>
      <c r="E38" s="62"/>
      <c r="F38" s="57">
        <f t="shared" si="0"/>
        <v>0</v>
      </c>
      <c r="G38" s="58">
        <f t="shared" si="1"/>
        <v>0</v>
      </c>
      <c r="H38" s="63"/>
      <c r="I38" s="64"/>
      <c r="J38" s="64"/>
      <c r="K38" s="64"/>
      <c r="L38" s="64"/>
      <c r="M38" s="65"/>
    </row>
    <row r="39" spans="1:13" s="61" customFormat="1" x14ac:dyDescent="0.35">
      <c r="A39" s="80">
        <v>37</v>
      </c>
      <c r="B39" s="51" t="s">
        <v>22</v>
      </c>
      <c r="C39" s="54" t="s">
        <v>91</v>
      </c>
      <c r="D39" s="62" t="s">
        <v>37</v>
      </c>
      <c r="E39" s="62"/>
      <c r="F39" s="57">
        <f t="shared" si="0"/>
        <v>0</v>
      </c>
      <c r="G39" s="58">
        <f t="shared" si="1"/>
        <v>0</v>
      </c>
      <c r="H39" s="63"/>
      <c r="I39" s="64"/>
      <c r="J39" s="64"/>
      <c r="K39" s="64"/>
      <c r="L39" s="64"/>
      <c r="M39" s="65"/>
    </row>
    <row r="40" spans="1:13" s="61" customFormat="1" x14ac:dyDescent="0.35">
      <c r="A40" s="80">
        <v>38</v>
      </c>
      <c r="B40" s="51" t="s">
        <v>25</v>
      </c>
      <c r="C40" s="54" t="s">
        <v>91</v>
      </c>
      <c r="D40" s="62" t="s">
        <v>34</v>
      </c>
      <c r="E40" s="62"/>
      <c r="F40" s="57">
        <f t="shared" si="0"/>
        <v>0</v>
      </c>
      <c r="G40" s="58">
        <f t="shared" si="1"/>
        <v>0</v>
      </c>
      <c r="H40" s="63"/>
      <c r="I40" s="64"/>
      <c r="J40" s="64"/>
      <c r="K40" s="64"/>
      <c r="L40" s="64"/>
      <c r="M40" s="65"/>
    </row>
    <row r="41" spans="1:13" s="61" customFormat="1" ht="15" thickBot="1" x14ac:dyDescent="0.4">
      <c r="A41" s="80">
        <v>39</v>
      </c>
      <c r="B41" s="76" t="s">
        <v>17</v>
      </c>
      <c r="C41" s="55" t="s">
        <v>90</v>
      </c>
      <c r="D41" s="66" t="s">
        <v>37</v>
      </c>
      <c r="E41" s="66"/>
      <c r="F41" s="57">
        <f t="shared" si="0"/>
        <v>0</v>
      </c>
      <c r="G41" s="58">
        <f t="shared" si="1"/>
        <v>0</v>
      </c>
      <c r="H41" s="67"/>
      <c r="I41" s="68"/>
      <c r="J41" s="68"/>
      <c r="K41" s="68"/>
      <c r="L41" s="68"/>
      <c r="M41" s="69"/>
    </row>
    <row r="43" spans="1:13" x14ac:dyDescent="0.35">
      <c r="B43" s="53" t="s">
        <v>99</v>
      </c>
    </row>
    <row r="44" spans="1:13" x14ac:dyDescent="0.35">
      <c r="B44" s="75" t="s">
        <v>100</v>
      </c>
    </row>
  </sheetData>
  <hyperlinks>
    <hyperlink ref="B44" r:id="rId1" xr:uid="{3F0A1A57-52EC-49FB-817D-58664CF52F7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EE617-57B0-406E-88B8-2FE5F8D1325F}">
  <dimension ref="A1:O44"/>
  <sheetViews>
    <sheetView workbookViewId="0">
      <selection activeCell="O2" sqref="O2"/>
    </sheetView>
  </sheetViews>
  <sheetFormatPr defaultRowHeight="14.5" x14ac:dyDescent="0.35"/>
  <cols>
    <col min="1" max="1" width="4.453125" style="79" customWidth="1"/>
    <col min="2" max="2" width="45.6328125" style="52" customWidth="1"/>
    <col min="3" max="3" width="8.1796875" hidden="1" customWidth="1"/>
    <col min="4" max="4" width="5.1796875" hidden="1" customWidth="1"/>
    <col min="5" max="5" width="1" hidden="1" customWidth="1"/>
    <col min="6" max="6" width="4.453125" hidden="1" customWidth="1"/>
    <col min="7" max="7" width="4.6328125" hidden="1" customWidth="1"/>
    <col min="8" max="12" width="4.6328125" customWidth="1"/>
    <col min="13" max="13" width="53.54296875" customWidth="1"/>
    <col min="14" max="14" width="4.453125" customWidth="1"/>
    <col min="15" max="15" width="58.81640625" customWidth="1"/>
  </cols>
  <sheetData>
    <row r="1" spans="1:15" x14ac:dyDescent="0.35">
      <c r="A1" s="77"/>
      <c r="B1" s="49" t="s">
        <v>43</v>
      </c>
      <c r="C1" s="4"/>
      <c r="D1" s="4" t="s">
        <v>32</v>
      </c>
      <c r="E1" s="4"/>
      <c r="F1" s="4"/>
      <c r="G1" s="2">
        <v>0</v>
      </c>
      <c r="H1" s="2">
        <v>0</v>
      </c>
      <c r="I1" s="2">
        <v>1</v>
      </c>
      <c r="J1" s="2">
        <v>2</v>
      </c>
      <c r="K1" s="2">
        <v>3</v>
      </c>
      <c r="L1" s="2">
        <v>4</v>
      </c>
      <c r="M1" s="46" t="s">
        <v>86</v>
      </c>
    </row>
    <row r="2" spans="1:15" ht="292.5" thickBot="1" x14ac:dyDescent="0.4">
      <c r="A2" s="78"/>
      <c r="B2" s="93" t="s">
        <v>119</v>
      </c>
      <c r="C2" s="5"/>
      <c r="D2" s="5"/>
      <c r="E2" s="5"/>
      <c r="F2" s="6"/>
      <c r="G2" s="73"/>
      <c r="H2" s="73" t="s">
        <v>126</v>
      </c>
      <c r="I2" s="73" t="s">
        <v>127</v>
      </c>
      <c r="J2" s="74" t="s">
        <v>128</v>
      </c>
      <c r="K2" s="74" t="s">
        <v>129</v>
      </c>
      <c r="L2" s="74" t="s">
        <v>130</v>
      </c>
      <c r="M2" s="93" t="s">
        <v>120</v>
      </c>
      <c r="O2" t="s">
        <v>41</v>
      </c>
    </row>
    <row r="3" spans="1:15" s="61" customFormat="1" x14ac:dyDescent="0.35">
      <c r="A3" s="80">
        <v>1</v>
      </c>
      <c r="B3" s="51" t="s">
        <v>31</v>
      </c>
      <c r="C3" s="53" t="s">
        <v>91</v>
      </c>
      <c r="D3" s="56" t="s">
        <v>40</v>
      </c>
      <c r="E3" s="56"/>
      <c r="F3" s="57">
        <f>IF(ISNA(MATCH("x",$H3:$L3,0)),0,MATCH("x",$H3:$L3,0))</f>
        <v>0</v>
      </c>
      <c r="G3" s="58">
        <f>IF(F3=0,0,F3-1)</f>
        <v>0</v>
      </c>
      <c r="H3" s="58"/>
      <c r="I3" s="59"/>
      <c r="J3" s="59"/>
      <c r="K3" s="59"/>
      <c r="L3" s="59"/>
      <c r="M3" s="60"/>
    </row>
    <row r="4" spans="1:15" s="61" customFormat="1" x14ac:dyDescent="0.35">
      <c r="A4" s="80">
        <v>2</v>
      </c>
      <c r="B4" s="51" t="s">
        <v>2</v>
      </c>
      <c r="C4" s="53" t="s">
        <v>88</v>
      </c>
      <c r="D4" s="56" t="s">
        <v>33</v>
      </c>
      <c r="E4" s="56"/>
      <c r="F4" s="57">
        <f t="shared" ref="F4:F41" si="0">IF(ISNA(MATCH("x",$H4:$L4,0)),0,MATCH("x",$H4:$L4,0))</f>
        <v>0</v>
      </c>
      <c r="G4" s="58">
        <f t="shared" ref="G4:G41" si="1">IF(F4=0,0,F4-1)</f>
        <v>0</v>
      </c>
      <c r="H4" s="58"/>
      <c r="I4" s="59"/>
      <c r="J4" s="59"/>
      <c r="K4" s="59"/>
      <c r="L4" s="59"/>
      <c r="M4" s="60"/>
    </row>
    <row r="5" spans="1:15" s="61" customFormat="1" x14ac:dyDescent="0.35">
      <c r="A5" s="80">
        <v>3</v>
      </c>
      <c r="B5" s="51" t="s">
        <v>6</v>
      </c>
      <c r="C5" s="53" t="s">
        <v>88</v>
      </c>
      <c r="D5" s="56" t="s">
        <v>34</v>
      </c>
      <c r="E5" s="56"/>
      <c r="F5" s="57">
        <f t="shared" si="0"/>
        <v>0</v>
      </c>
      <c r="G5" s="58">
        <f t="shared" si="1"/>
        <v>0</v>
      </c>
      <c r="H5" s="58"/>
      <c r="I5" s="59"/>
      <c r="J5" s="59"/>
      <c r="K5" s="59"/>
      <c r="L5" s="59"/>
      <c r="M5" s="60"/>
    </row>
    <row r="6" spans="1:15" s="61" customFormat="1" x14ac:dyDescent="0.35">
      <c r="A6" s="80">
        <v>4</v>
      </c>
      <c r="B6" s="51" t="s">
        <v>16</v>
      </c>
      <c r="C6" s="53" t="s">
        <v>90</v>
      </c>
      <c r="D6" s="56" t="s">
        <v>37</v>
      </c>
      <c r="E6" s="56"/>
      <c r="F6" s="57">
        <f t="shared" si="0"/>
        <v>0</v>
      </c>
      <c r="G6" s="58">
        <f t="shared" si="1"/>
        <v>0</v>
      </c>
      <c r="H6" s="58"/>
      <c r="I6" s="59"/>
      <c r="J6" s="59"/>
      <c r="K6" s="59"/>
      <c r="L6" s="59"/>
      <c r="M6" s="60"/>
    </row>
    <row r="7" spans="1:15" s="61" customFormat="1" ht="29" x14ac:dyDescent="0.35">
      <c r="A7" s="80">
        <v>5</v>
      </c>
      <c r="B7" s="51" t="s">
        <v>20</v>
      </c>
      <c r="C7" s="53" t="s">
        <v>90</v>
      </c>
      <c r="D7" s="56" t="s">
        <v>35</v>
      </c>
      <c r="E7" s="56"/>
      <c r="F7" s="57">
        <f t="shared" si="0"/>
        <v>0</v>
      </c>
      <c r="G7" s="58">
        <f t="shared" si="1"/>
        <v>0</v>
      </c>
      <c r="H7" s="58"/>
      <c r="I7" s="59"/>
      <c r="J7" s="59"/>
      <c r="K7" s="59"/>
      <c r="L7" s="59"/>
      <c r="M7" s="60"/>
    </row>
    <row r="8" spans="1:15" s="61" customFormat="1" x14ac:dyDescent="0.35">
      <c r="A8" s="80">
        <v>6</v>
      </c>
      <c r="B8" s="51" t="s">
        <v>29</v>
      </c>
      <c r="C8" s="53" t="s">
        <v>90</v>
      </c>
      <c r="D8" s="56" t="s">
        <v>39</v>
      </c>
      <c r="E8" s="56"/>
      <c r="F8" s="57">
        <f t="shared" si="0"/>
        <v>0</v>
      </c>
      <c r="G8" s="58">
        <f t="shared" si="1"/>
        <v>0</v>
      </c>
      <c r="H8" s="58"/>
      <c r="I8" s="59"/>
      <c r="J8" s="59"/>
      <c r="K8" s="59"/>
      <c r="L8" s="59"/>
      <c r="M8" s="60"/>
    </row>
    <row r="9" spans="1:15" s="61" customFormat="1" x14ac:dyDescent="0.35">
      <c r="A9" s="80">
        <v>7</v>
      </c>
      <c r="B9" s="51" t="s">
        <v>27</v>
      </c>
      <c r="C9" s="53" t="s">
        <v>90</v>
      </c>
      <c r="D9" s="56" t="s">
        <v>39</v>
      </c>
      <c r="E9" s="56"/>
      <c r="F9" s="57">
        <f t="shared" si="0"/>
        <v>0</v>
      </c>
      <c r="G9" s="58">
        <f t="shared" si="1"/>
        <v>0</v>
      </c>
      <c r="H9" s="58"/>
      <c r="I9" s="59"/>
      <c r="J9" s="59"/>
      <c r="K9" s="59"/>
      <c r="L9" s="59"/>
      <c r="M9" s="60"/>
    </row>
    <row r="10" spans="1:15" s="61" customFormat="1" x14ac:dyDescent="0.35">
      <c r="A10" s="80">
        <v>8</v>
      </c>
      <c r="B10" s="51" t="s">
        <v>13</v>
      </c>
      <c r="C10" s="53" t="s">
        <v>90</v>
      </c>
      <c r="D10" s="56" t="s">
        <v>36</v>
      </c>
      <c r="E10" s="56"/>
      <c r="F10" s="57">
        <f t="shared" si="0"/>
        <v>0</v>
      </c>
      <c r="G10" s="58">
        <f t="shared" si="1"/>
        <v>0</v>
      </c>
      <c r="H10" s="58"/>
      <c r="I10" s="59"/>
      <c r="J10" s="59"/>
      <c r="K10" s="59"/>
      <c r="L10" s="59"/>
      <c r="M10" s="60"/>
    </row>
    <row r="11" spans="1:15" s="61" customFormat="1" ht="29" x14ac:dyDescent="0.35">
      <c r="A11" s="80">
        <v>9</v>
      </c>
      <c r="B11" s="51" t="s">
        <v>19</v>
      </c>
      <c r="C11" s="54" t="s">
        <v>90</v>
      </c>
      <c r="D11" s="56" t="s">
        <v>37</v>
      </c>
      <c r="E11" s="62"/>
      <c r="F11" s="57">
        <f t="shared" si="0"/>
        <v>0</v>
      </c>
      <c r="G11" s="58">
        <f t="shared" si="1"/>
        <v>0</v>
      </c>
      <c r="H11" s="63"/>
      <c r="I11" s="64"/>
      <c r="J11" s="64"/>
      <c r="K11" s="64"/>
      <c r="L11" s="64"/>
      <c r="M11" s="65"/>
      <c r="O11" s="61" t="s">
        <v>111</v>
      </c>
    </row>
    <row r="12" spans="1:15" s="61" customFormat="1" x14ac:dyDescent="0.35">
      <c r="A12" s="80">
        <v>10</v>
      </c>
      <c r="B12" s="51" t="s">
        <v>101</v>
      </c>
      <c r="C12" s="54" t="s">
        <v>88</v>
      </c>
      <c r="D12" s="56" t="s">
        <v>109</v>
      </c>
      <c r="E12" s="62"/>
      <c r="F12" s="57">
        <f t="shared" si="0"/>
        <v>0</v>
      </c>
      <c r="G12" s="58">
        <f t="shared" si="1"/>
        <v>0</v>
      </c>
      <c r="H12" s="63"/>
      <c r="I12" s="64"/>
      <c r="J12" s="64"/>
      <c r="K12" s="64"/>
      <c r="L12" s="64"/>
      <c r="M12" s="65"/>
      <c r="O12" s="61" t="s">
        <v>42</v>
      </c>
    </row>
    <row r="13" spans="1:15" s="61" customFormat="1" x14ac:dyDescent="0.35">
      <c r="A13" s="80">
        <v>11</v>
      </c>
      <c r="B13" s="51" t="s">
        <v>3</v>
      </c>
      <c r="C13" s="54" t="s">
        <v>92</v>
      </c>
      <c r="D13" s="56" t="s">
        <v>33</v>
      </c>
      <c r="E13" s="62"/>
      <c r="F13" s="57">
        <f t="shared" si="0"/>
        <v>0</v>
      </c>
      <c r="G13" s="58">
        <f t="shared" si="1"/>
        <v>0</v>
      </c>
      <c r="H13" s="63"/>
      <c r="I13" s="64"/>
      <c r="J13" s="64"/>
      <c r="K13" s="64"/>
      <c r="L13" s="64"/>
      <c r="M13" s="65"/>
      <c r="O13" s="61" t="s">
        <v>44</v>
      </c>
    </row>
    <row r="14" spans="1:15" s="61" customFormat="1" x14ac:dyDescent="0.35">
      <c r="A14" s="80">
        <v>12</v>
      </c>
      <c r="B14" s="51" t="s">
        <v>11</v>
      </c>
      <c r="C14" s="54" t="s">
        <v>93</v>
      </c>
      <c r="D14" s="56" t="s">
        <v>35</v>
      </c>
      <c r="E14" s="62"/>
      <c r="F14" s="57">
        <f t="shared" si="0"/>
        <v>0</v>
      </c>
      <c r="G14" s="58">
        <f t="shared" si="1"/>
        <v>0</v>
      </c>
      <c r="H14" s="63"/>
      <c r="I14" s="64"/>
      <c r="J14" s="64"/>
      <c r="K14" s="64"/>
      <c r="L14" s="64"/>
      <c r="M14" s="65"/>
      <c r="O14" s="61" t="s">
        <v>45</v>
      </c>
    </row>
    <row r="15" spans="1:15" s="61" customFormat="1" x14ac:dyDescent="0.35">
      <c r="A15" s="80">
        <v>13</v>
      </c>
      <c r="B15" s="51" t="s">
        <v>1</v>
      </c>
      <c r="C15" s="54" t="s">
        <v>91</v>
      </c>
      <c r="D15" s="62" t="s">
        <v>33</v>
      </c>
      <c r="E15" s="62"/>
      <c r="F15" s="57">
        <f t="shared" si="0"/>
        <v>0</v>
      </c>
      <c r="G15" s="58">
        <f t="shared" si="1"/>
        <v>0</v>
      </c>
      <c r="H15" s="63"/>
      <c r="I15" s="64"/>
      <c r="J15" s="64"/>
      <c r="K15" s="64"/>
      <c r="L15" s="64"/>
      <c r="M15" s="65"/>
    </row>
    <row r="16" spans="1:15" s="61" customFormat="1" x14ac:dyDescent="0.35">
      <c r="A16" s="80">
        <v>14</v>
      </c>
      <c r="B16" s="51" t="s">
        <v>10</v>
      </c>
      <c r="C16" s="54" t="s">
        <v>89</v>
      </c>
      <c r="D16" s="62" t="s">
        <v>35</v>
      </c>
      <c r="E16" s="62"/>
      <c r="F16" s="57">
        <f t="shared" si="0"/>
        <v>0</v>
      </c>
      <c r="G16" s="58">
        <f t="shared" si="1"/>
        <v>0</v>
      </c>
      <c r="H16" s="63"/>
      <c r="I16" s="64"/>
      <c r="J16" s="64"/>
      <c r="K16" s="64"/>
      <c r="L16" s="64"/>
      <c r="M16" s="65"/>
    </row>
    <row r="17" spans="1:15" s="61" customFormat="1" ht="16" x14ac:dyDescent="0.35">
      <c r="A17" s="80">
        <v>15</v>
      </c>
      <c r="B17" s="51" t="s">
        <v>105</v>
      </c>
      <c r="C17" s="54" t="s">
        <v>108</v>
      </c>
      <c r="D17" s="62" t="s">
        <v>109</v>
      </c>
      <c r="E17" s="62"/>
      <c r="F17" s="57">
        <f t="shared" si="0"/>
        <v>0</v>
      </c>
      <c r="G17" s="58">
        <f t="shared" si="1"/>
        <v>0</v>
      </c>
      <c r="H17" s="63"/>
      <c r="I17" s="64"/>
      <c r="J17" s="64"/>
      <c r="K17" s="64"/>
      <c r="L17" s="64"/>
      <c r="M17" s="65"/>
      <c r="O17" s="72"/>
    </row>
    <row r="18" spans="1:15" s="61" customFormat="1" ht="29" x14ac:dyDescent="0.35">
      <c r="A18" s="80">
        <v>16</v>
      </c>
      <c r="B18" s="51" t="s">
        <v>30</v>
      </c>
      <c r="C18" s="54" t="s">
        <v>90</v>
      </c>
      <c r="D18" s="62" t="s">
        <v>40</v>
      </c>
      <c r="E18" s="62"/>
      <c r="F18" s="57">
        <f t="shared" si="0"/>
        <v>0</v>
      </c>
      <c r="G18" s="58">
        <f t="shared" si="1"/>
        <v>0</v>
      </c>
      <c r="H18" s="63"/>
      <c r="I18" s="64"/>
      <c r="J18" s="64"/>
      <c r="K18" s="64"/>
      <c r="L18" s="64"/>
      <c r="M18" s="65"/>
    </row>
    <row r="19" spans="1:15" s="61" customFormat="1" x14ac:dyDescent="0.35">
      <c r="A19" s="80">
        <v>17</v>
      </c>
      <c r="B19" s="51" t="s">
        <v>14</v>
      </c>
      <c r="C19" s="54" t="s">
        <v>92</v>
      </c>
      <c r="D19" s="62" t="s">
        <v>36</v>
      </c>
      <c r="E19" s="62"/>
      <c r="F19" s="57">
        <f t="shared" si="0"/>
        <v>0</v>
      </c>
      <c r="G19" s="58">
        <f t="shared" si="1"/>
        <v>0</v>
      </c>
      <c r="H19" s="63"/>
      <c r="I19" s="64"/>
      <c r="J19" s="64"/>
      <c r="K19" s="64"/>
      <c r="L19" s="64"/>
      <c r="M19" s="65"/>
    </row>
    <row r="20" spans="1:15" s="61" customFormat="1" x14ac:dyDescent="0.35">
      <c r="A20" s="80">
        <v>18</v>
      </c>
      <c r="B20" s="51" t="s">
        <v>102</v>
      </c>
      <c r="C20" s="54" t="s">
        <v>88</v>
      </c>
      <c r="D20" s="62" t="s">
        <v>109</v>
      </c>
      <c r="E20" s="62"/>
      <c r="F20" s="57">
        <f t="shared" si="0"/>
        <v>0</v>
      </c>
      <c r="G20" s="58">
        <f t="shared" si="1"/>
        <v>0</v>
      </c>
      <c r="H20" s="63"/>
      <c r="I20" s="64"/>
      <c r="J20" s="64"/>
      <c r="K20" s="64"/>
      <c r="L20" s="64"/>
      <c r="M20" s="65"/>
    </row>
    <row r="21" spans="1:15" s="61" customFormat="1" x14ac:dyDescent="0.35">
      <c r="A21" s="80">
        <v>19</v>
      </c>
      <c r="B21" s="51" t="s">
        <v>9</v>
      </c>
      <c r="C21" s="54" t="s">
        <v>89</v>
      </c>
      <c r="D21" s="62" t="s">
        <v>35</v>
      </c>
      <c r="E21" s="62"/>
      <c r="F21" s="57">
        <f t="shared" si="0"/>
        <v>0</v>
      </c>
      <c r="G21" s="58">
        <f t="shared" si="1"/>
        <v>0</v>
      </c>
      <c r="H21" s="63"/>
      <c r="I21" s="64"/>
      <c r="J21" s="64"/>
      <c r="K21" s="64"/>
      <c r="L21" s="64"/>
      <c r="M21" s="65"/>
    </row>
    <row r="22" spans="1:15" s="61" customFormat="1" x14ac:dyDescent="0.35">
      <c r="A22" s="80">
        <v>20</v>
      </c>
      <c r="B22" s="51" t="s">
        <v>28</v>
      </c>
      <c r="C22" s="54" t="s">
        <v>89</v>
      </c>
      <c r="D22" s="62" t="s">
        <v>39</v>
      </c>
      <c r="E22" s="62"/>
      <c r="F22" s="57">
        <f t="shared" si="0"/>
        <v>0</v>
      </c>
      <c r="G22" s="58">
        <f t="shared" si="1"/>
        <v>0</v>
      </c>
      <c r="H22" s="63"/>
      <c r="I22" s="64"/>
      <c r="J22" s="64"/>
      <c r="K22" s="64"/>
      <c r="L22" s="64"/>
      <c r="M22" s="65"/>
    </row>
    <row r="23" spans="1:15" s="61" customFormat="1" x14ac:dyDescent="0.35">
      <c r="A23" s="80">
        <v>21</v>
      </c>
      <c r="B23" s="51" t="s">
        <v>107</v>
      </c>
      <c r="C23" s="54" t="s">
        <v>108</v>
      </c>
      <c r="D23" s="62" t="s">
        <v>109</v>
      </c>
      <c r="E23" s="62"/>
      <c r="F23" s="57">
        <f t="shared" si="0"/>
        <v>0</v>
      </c>
      <c r="G23" s="58">
        <f t="shared" si="1"/>
        <v>0</v>
      </c>
      <c r="H23" s="63"/>
      <c r="I23" s="64"/>
      <c r="J23" s="64"/>
      <c r="K23" s="64"/>
      <c r="L23" s="64"/>
      <c r="M23" s="65"/>
    </row>
    <row r="24" spans="1:15" s="61" customFormat="1" x14ac:dyDescent="0.35">
      <c r="A24" s="80">
        <v>22</v>
      </c>
      <c r="B24" s="51" t="s">
        <v>24</v>
      </c>
      <c r="C24" s="54" t="s">
        <v>91</v>
      </c>
      <c r="D24" s="62" t="s">
        <v>37</v>
      </c>
      <c r="E24" s="62"/>
      <c r="F24" s="57">
        <f t="shared" si="0"/>
        <v>0</v>
      </c>
      <c r="G24" s="58">
        <f t="shared" si="1"/>
        <v>0</v>
      </c>
      <c r="H24" s="63"/>
      <c r="I24" s="64"/>
      <c r="J24" s="64"/>
      <c r="K24" s="64"/>
      <c r="L24" s="64"/>
      <c r="M24" s="65"/>
    </row>
    <row r="25" spans="1:15" s="61" customFormat="1" x14ac:dyDescent="0.35">
      <c r="A25" s="80">
        <v>23</v>
      </c>
      <c r="B25" s="51" t="s">
        <v>15</v>
      </c>
      <c r="C25" s="54" t="s">
        <v>89</v>
      </c>
      <c r="D25" s="62" t="s">
        <v>35</v>
      </c>
      <c r="E25" s="62"/>
      <c r="F25" s="57">
        <f t="shared" si="0"/>
        <v>0</v>
      </c>
      <c r="G25" s="58">
        <f t="shared" si="1"/>
        <v>0</v>
      </c>
      <c r="H25" s="63"/>
      <c r="I25" s="64"/>
      <c r="J25" s="64"/>
      <c r="K25" s="64"/>
      <c r="L25" s="64"/>
      <c r="M25" s="65"/>
    </row>
    <row r="26" spans="1:15" s="61" customFormat="1" x14ac:dyDescent="0.35">
      <c r="A26" s="80">
        <v>24</v>
      </c>
      <c r="B26" s="51" t="s">
        <v>12</v>
      </c>
      <c r="C26" s="54" t="s">
        <v>93</v>
      </c>
      <c r="D26" s="62" t="s">
        <v>36</v>
      </c>
      <c r="E26" s="62"/>
      <c r="F26" s="57">
        <f t="shared" si="0"/>
        <v>0</v>
      </c>
      <c r="G26" s="58">
        <f t="shared" si="1"/>
        <v>0</v>
      </c>
      <c r="H26" s="63"/>
      <c r="I26" s="64"/>
      <c r="J26" s="64"/>
      <c r="K26" s="64"/>
      <c r="L26" s="64"/>
      <c r="M26" s="65"/>
    </row>
    <row r="27" spans="1:15" s="61" customFormat="1" x14ac:dyDescent="0.35">
      <c r="A27" s="80">
        <v>25</v>
      </c>
      <c r="B27" s="51" t="s">
        <v>4</v>
      </c>
      <c r="C27" s="54" t="s">
        <v>88</v>
      </c>
      <c r="D27" s="62" t="s">
        <v>33</v>
      </c>
      <c r="E27" s="62"/>
      <c r="F27" s="57">
        <f t="shared" si="0"/>
        <v>0</v>
      </c>
      <c r="G27" s="58">
        <f t="shared" si="1"/>
        <v>0</v>
      </c>
      <c r="H27" s="63"/>
      <c r="I27" s="64"/>
      <c r="J27" s="64"/>
      <c r="K27" s="64"/>
      <c r="L27" s="64"/>
      <c r="M27" s="65"/>
    </row>
    <row r="28" spans="1:15" s="61" customFormat="1" x14ac:dyDescent="0.35">
      <c r="A28" s="80">
        <v>26</v>
      </c>
      <c r="B28" s="51" t="s">
        <v>7</v>
      </c>
      <c r="C28" s="54" t="s">
        <v>89</v>
      </c>
      <c r="D28" s="62" t="s">
        <v>35</v>
      </c>
      <c r="E28" s="62"/>
      <c r="F28" s="57">
        <f t="shared" si="0"/>
        <v>0</v>
      </c>
      <c r="G28" s="58">
        <f t="shared" si="1"/>
        <v>0</v>
      </c>
      <c r="H28" s="63"/>
      <c r="I28" s="64"/>
      <c r="J28" s="64"/>
      <c r="K28" s="64"/>
      <c r="L28" s="64"/>
      <c r="M28" s="65"/>
    </row>
    <row r="29" spans="1:15" s="61" customFormat="1" x14ac:dyDescent="0.35">
      <c r="A29" s="80">
        <v>27</v>
      </c>
      <c r="B29" s="51" t="s">
        <v>103</v>
      </c>
      <c r="C29" s="54" t="s">
        <v>108</v>
      </c>
      <c r="D29" s="62" t="s">
        <v>109</v>
      </c>
      <c r="E29" s="62"/>
      <c r="F29" s="57">
        <f t="shared" si="0"/>
        <v>0</v>
      </c>
      <c r="G29" s="58">
        <f t="shared" si="1"/>
        <v>0</v>
      </c>
      <c r="H29" s="63"/>
      <c r="I29" s="64"/>
      <c r="J29" s="64"/>
      <c r="K29" s="64"/>
      <c r="L29" s="64"/>
      <c r="M29" s="65"/>
    </row>
    <row r="30" spans="1:15" s="61" customFormat="1" x14ac:dyDescent="0.35">
      <c r="A30" s="80">
        <v>28</v>
      </c>
      <c r="B30" s="51" t="s">
        <v>38</v>
      </c>
      <c r="C30" s="54" t="s">
        <v>90</v>
      </c>
      <c r="D30" s="62" t="s">
        <v>36</v>
      </c>
      <c r="E30" s="62"/>
      <c r="F30" s="57">
        <f t="shared" si="0"/>
        <v>0</v>
      </c>
      <c r="G30" s="58">
        <f t="shared" si="1"/>
        <v>0</v>
      </c>
      <c r="H30" s="63"/>
      <c r="I30" s="64"/>
      <c r="J30" s="64"/>
      <c r="K30" s="64"/>
      <c r="L30" s="64"/>
      <c r="M30" s="65"/>
    </row>
    <row r="31" spans="1:15" s="61" customFormat="1" x14ac:dyDescent="0.35">
      <c r="A31" s="80">
        <v>29</v>
      </c>
      <c r="B31" s="51" t="s">
        <v>23</v>
      </c>
      <c r="C31" s="54" t="s">
        <v>90</v>
      </c>
      <c r="D31" s="62" t="s">
        <v>40</v>
      </c>
      <c r="E31" s="62"/>
      <c r="F31" s="57">
        <f t="shared" si="0"/>
        <v>0</v>
      </c>
      <c r="G31" s="58">
        <f t="shared" si="1"/>
        <v>0</v>
      </c>
      <c r="H31" s="63"/>
      <c r="I31" s="64"/>
      <c r="J31" s="64"/>
      <c r="K31" s="64"/>
      <c r="L31" s="64"/>
      <c r="M31" s="65"/>
    </row>
    <row r="32" spans="1:15" s="61" customFormat="1" x14ac:dyDescent="0.35">
      <c r="A32" s="80">
        <v>30</v>
      </c>
      <c r="B32" s="51" t="s">
        <v>18</v>
      </c>
      <c r="C32" s="54" t="s">
        <v>88</v>
      </c>
      <c r="D32" s="62" t="s">
        <v>39</v>
      </c>
      <c r="E32" s="62"/>
      <c r="F32" s="57">
        <f t="shared" si="0"/>
        <v>0</v>
      </c>
      <c r="G32" s="58">
        <f t="shared" si="1"/>
        <v>0</v>
      </c>
      <c r="H32" s="63"/>
      <c r="I32" s="64"/>
      <c r="J32" s="64"/>
      <c r="K32" s="64"/>
      <c r="L32" s="64"/>
      <c r="M32" s="65"/>
    </row>
    <row r="33" spans="1:13" s="61" customFormat="1" x14ac:dyDescent="0.35">
      <c r="A33" s="80">
        <v>31</v>
      </c>
      <c r="B33" s="51" t="s">
        <v>104</v>
      </c>
      <c r="C33" s="54" t="s">
        <v>108</v>
      </c>
      <c r="D33" s="62" t="s">
        <v>109</v>
      </c>
      <c r="E33" s="62"/>
      <c r="F33" s="57">
        <f t="shared" si="0"/>
        <v>0</v>
      </c>
      <c r="G33" s="58">
        <f t="shared" si="1"/>
        <v>0</v>
      </c>
      <c r="H33" s="63"/>
      <c r="I33" s="64"/>
      <c r="J33" s="64"/>
      <c r="K33" s="64"/>
      <c r="L33" s="64"/>
      <c r="M33" s="65"/>
    </row>
    <row r="34" spans="1:13" s="61" customFormat="1" x14ac:dyDescent="0.35">
      <c r="A34" s="80">
        <v>32</v>
      </c>
      <c r="B34" s="51" t="s">
        <v>8</v>
      </c>
      <c r="C34" s="54" t="s">
        <v>93</v>
      </c>
      <c r="D34" s="62" t="s">
        <v>35</v>
      </c>
      <c r="E34" s="62"/>
      <c r="F34" s="57">
        <f t="shared" si="0"/>
        <v>0</v>
      </c>
      <c r="G34" s="58">
        <f t="shared" si="1"/>
        <v>0</v>
      </c>
      <c r="H34" s="63"/>
      <c r="I34" s="64"/>
      <c r="J34" s="64"/>
      <c r="K34" s="64"/>
      <c r="L34" s="64"/>
      <c r="M34" s="65"/>
    </row>
    <row r="35" spans="1:13" s="61" customFormat="1" x14ac:dyDescent="0.35">
      <c r="A35" s="80">
        <v>33</v>
      </c>
      <c r="B35" s="51" t="s">
        <v>26</v>
      </c>
      <c r="C35" s="54" t="s">
        <v>90</v>
      </c>
      <c r="D35" s="62" t="s">
        <v>37</v>
      </c>
      <c r="E35" s="62"/>
      <c r="F35" s="57">
        <f t="shared" si="0"/>
        <v>0</v>
      </c>
      <c r="G35" s="58">
        <f t="shared" si="1"/>
        <v>0</v>
      </c>
      <c r="H35" s="63"/>
      <c r="I35" s="64"/>
      <c r="J35" s="64"/>
      <c r="K35" s="64"/>
      <c r="L35" s="64"/>
      <c r="M35" s="65"/>
    </row>
    <row r="36" spans="1:13" s="61" customFormat="1" x14ac:dyDescent="0.35">
      <c r="A36" s="80">
        <v>34</v>
      </c>
      <c r="B36" s="51" t="s">
        <v>106</v>
      </c>
      <c r="C36" s="54" t="s">
        <v>108</v>
      </c>
      <c r="D36" s="62" t="s">
        <v>109</v>
      </c>
      <c r="E36" s="62"/>
      <c r="F36" s="57">
        <f t="shared" si="0"/>
        <v>0</v>
      </c>
      <c r="G36" s="58">
        <f t="shared" si="1"/>
        <v>0</v>
      </c>
      <c r="H36" s="63"/>
      <c r="I36" s="64"/>
      <c r="J36" s="64"/>
      <c r="K36" s="64"/>
      <c r="L36" s="64"/>
      <c r="M36" s="65"/>
    </row>
    <row r="37" spans="1:13" s="61" customFormat="1" x14ac:dyDescent="0.35">
      <c r="A37" s="80">
        <v>35</v>
      </c>
      <c r="B37" s="51" t="s">
        <v>21</v>
      </c>
      <c r="C37" s="54" t="s">
        <v>90</v>
      </c>
      <c r="D37" s="62" t="s">
        <v>37</v>
      </c>
      <c r="E37" s="62"/>
      <c r="F37" s="57">
        <f t="shared" si="0"/>
        <v>0</v>
      </c>
      <c r="G37" s="58">
        <f t="shared" si="1"/>
        <v>0</v>
      </c>
      <c r="H37" s="63"/>
      <c r="I37" s="64"/>
      <c r="J37" s="64"/>
      <c r="K37" s="64"/>
      <c r="L37" s="64"/>
      <c r="M37" s="65"/>
    </row>
    <row r="38" spans="1:13" s="61" customFormat="1" x14ac:dyDescent="0.35">
      <c r="A38" s="80">
        <v>36</v>
      </c>
      <c r="B38" s="51" t="s">
        <v>5</v>
      </c>
      <c r="C38" s="54" t="s">
        <v>88</v>
      </c>
      <c r="D38" s="62" t="s">
        <v>33</v>
      </c>
      <c r="E38" s="62"/>
      <c r="F38" s="57">
        <f t="shared" si="0"/>
        <v>0</v>
      </c>
      <c r="G38" s="58">
        <f t="shared" si="1"/>
        <v>0</v>
      </c>
      <c r="H38" s="63"/>
      <c r="I38" s="64"/>
      <c r="J38" s="64"/>
      <c r="K38" s="64"/>
      <c r="L38" s="64"/>
      <c r="M38" s="65"/>
    </row>
    <row r="39" spans="1:13" s="61" customFormat="1" x14ac:dyDescent="0.35">
      <c r="A39" s="80">
        <v>37</v>
      </c>
      <c r="B39" s="51" t="s">
        <v>22</v>
      </c>
      <c r="C39" s="54" t="s">
        <v>91</v>
      </c>
      <c r="D39" s="62" t="s">
        <v>37</v>
      </c>
      <c r="E39" s="62"/>
      <c r="F39" s="57">
        <f t="shared" si="0"/>
        <v>0</v>
      </c>
      <c r="G39" s="58">
        <f t="shared" si="1"/>
        <v>0</v>
      </c>
      <c r="H39" s="63"/>
      <c r="I39" s="64"/>
      <c r="J39" s="64"/>
      <c r="K39" s="64"/>
      <c r="L39" s="64"/>
      <c r="M39" s="65"/>
    </row>
    <row r="40" spans="1:13" s="61" customFormat="1" x14ac:dyDescent="0.35">
      <c r="A40" s="80">
        <v>38</v>
      </c>
      <c r="B40" s="51" t="s">
        <v>25</v>
      </c>
      <c r="C40" s="54" t="s">
        <v>91</v>
      </c>
      <c r="D40" s="62" t="s">
        <v>34</v>
      </c>
      <c r="E40" s="62"/>
      <c r="F40" s="57">
        <f t="shared" si="0"/>
        <v>0</v>
      </c>
      <c r="G40" s="58">
        <f t="shared" si="1"/>
        <v>0</v>
      </c>
      <c r="H40" s="63"/>
      <c r="I40" s="64"/>
      <c r="J40" s="64"/>
      <c r="K40" s="64"/>
      <c r="L40" s="64"/>
      <c r="M40" s="65"/>
    </row>
    <row r="41" spans="1:13" s="61" customFormat="1" ht="15" thickBot="1" x14ac:dyDescent="0.4">
      <c r="A41" s="80">
        <v>39</v>
      </c>
      <c r="B41" s="76" t="s">
        <v>17</v>
      </c>
      <c r="C41" s="55" t="s">
        <v>90</v>
      </c>
      <c r="D41" s="66" t="s">
        <v>37</v>
      </c>
      <c r="E41" s="66"/>
      <c r="F41" s="57">
        <f t="shared" si="0"/>
        <v>0</v>
      </c>
      <c r="G41" s="58">
        <f t="shared" si="1"/>
        <v>0</v>
      </c>
      <c r="H41" s="67"/>
      <c r="I41" s="68"/>
      <c r="J41" s="68"/>
      <c r="K41" s="68"/>
      <c r="L41" s="68"/>
      <c r="M41" s="69"/>
    </row>
    <row r="43" spans="1:13" x14ac:dyDescent="0.35">
      <c r="B43" s="53" t="s">
        <v>99</v>
      </c>
    </row>
    <row r="44" spans="1:13" x14ac:dyDescent="0.35">
      <c r="B44" s="75" t="s">
        <v>100</v>
      </c>
    </row>
  </sheetData>
  <hyperlinks>
    <hyperlink ref="B44" r:id="rId1" xr:uid="{1056EE80-8E6F-483A-92AE-D7FE55248A92}"/>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02CBD-B781-41A0-915B-CD098F9A2E1A}">
  <sheetPr>
    <pageSetUpPr fitToPage="1"/>
  </sheetPr>
  <dimension ref="A1:W49"/>
  <sheetViews>
    <sheetView tabSelected="1" topLeftCell="A11" workbookViewId="0">
      <selection activeCell="B4" sqref="B4:B10"/>
    </sheetView>
  </sheetViews>
  <sheetFormatPr defaultRowHeight="14.5" x14ac:dyDescent="0.35"/>
  <cols>
    <col min="1" max="1" width="1.453125" customWidth="1"/>
    <col min="2" max="2" width="35.7265625" customWidth="1"/>
    <col min="3" max="5" width="9.1796875" hidden="1" customWidth="1"/>
    <col min="7" max="7" width="8.26953125" customWidth="1"/>
    <col min="8" max="11" width="6.81640625" customWidth="1"/>
    <col min="12" max="12" width="10.6328125" customWidth="1"/>
    <col min="13" max="13" width="35.7265625" customWidth="1"/>
    <col min="14" max="16" width="9.1796875" hidden="1" customWidth="1"/>
    <col min="18" max="18" width="8.26953125" customWidth="1"/>
    <col min="19" max="21" width="6.81640625" customWidth="1"/>
    <col min="22" max="22" width="89.26953125" customWidth="1"/>
    <col min="23" max="23" width="0.81640625" customWidth="1"/>
  </cols>
  <sheetData>
    <row r="1" spans="1:23" ht="15" thickBot="1" x14ac:dyDescent="0.4">
      <c r="A1" s="7"/>
      <c r="B1" s="8"/>
      <c r="C1" s="8"/>
      <c r="D1" s="8"/>
      <c r="E1" s="8"/>
      <c r="F1" s="8"/>
      <c r="G1" s="8"/>
      <c r="H1" s="8"/>
      <c r="I1" s="8"/>
      <c r="J1" s="8"/>
      <c r="K1" s="8"/>
      <c r="L1" s="8"/>
      <c r="M1" s="8"/>
      <c r="N1" s="8"/>
      <c r="O1" s="8"/>
      <c r="P1" s="8"/>
      <c r="Q1" s="8"/>
      <c r="R1" s="8"/>
      <c r="S1" s="8"/>
      <c r="T1" s="8"/>
      <c r="U1" s="8"/>
      <c r="V1" s="8"/>
      <c r="W1" s="9"/>
    </row>
    <row r="2" spans="1:23" ht="29.5" thickBot="1" x14ac:dyDescent="0.4">
      <c r="A2" s="10"/>
      <c r="B2" s="52" t="s">
        <v>134</v>
      </c>
      <c r="M2" s="52" t="s">
        <v>133</v>
      </c>
      <c r="V2" s="94" t="s">
        <v>132</v>
      </c>
      <c r="W2" s="11"/>
    </row>
    <row r="3" spans="1:23" ht="63.5" x14ac:dyDescent="0.35">
      <c r="A3" s="10"/>
      <c r="B3" s="19" t="s">
        <v>49</v>
      </c>
      <c r="C3" s="20"/>
      <c r="D3" s="20"/>
      <c r="E3" s="20"/>
      <c r="F3" s="2" t="s">
        <v>46</v>
      </c>
      <c r="G3" s="2" t="s">
        <v>48</v>
      </c>
      <c r="H3" s="3" t="s">
        <v>47</v>
      </c>
      <c r="I3" s="70"/>
      <c r="J3" s="81" t="s">
        <v>112</v>
      </c>
      <c r="K3" s="70"/>
      <c r="L3" s="1"/>
      <c r="M3" s="19" t="s">
        <v>49</v>
      </c>
      <c r="N3" s="20"/>
      <c r="O3" s="20"/>
      <c r="P3" s="20"/>
      <c r="Q3" s="2" t="s">
        <v>46</v>
      </c>
      <c r="R3" s="2" t="s">
        <v>48</v>
      </c>
      <c r="S3" s="3" t="s">
        <v>47</v>
      </c>
      <c r="T3" s="70"/>
      <c r="U3" s="70"/>
      <c r="V3" s="25"/>
      <c r="W3" s="11"/>
    </row>
    <row r="4" spans="1:23" x14ac:dyDescent="0.35">
      <c r="A4" s="10"/>
      <c r="B4" s="21" t="s">
        <v>113</v>
      </c>
      <c r="C4" s="17" t="s">
        <v>88</v>
      </c>
      <c r="D4" s="17">
        <f>COUNTIF('Self-assessment'!$C$3:$C$41,$C4)*5</f>
        <v>35</v>
      </c>
      <c r="E4" s="17">
        <f>SUMIF('Self-assessment'!$C$3:$C$41,$C4,'Self-assessment'!$G$3:$G$41)</f>
        <v>0</v>
      </c>
      <c r="F4" s="18">
        <f>(E4/D4)*4</f>
        <v>0</v>
      </c>
      <c r="G4" s="18">
        <f>_xlfn.MINIFS('Self-assessment'!$G$3:$G$41,'Self-assessment'!$C$3:'Self-assessment'!$C$41,$C4,'Self-assessment'!$G$3:$G$41,"&gt;0")</f>
        <v>0</v>
      </c>
      <c r="H4" s="22">
        <f>_xlfn.MAXIFS('Self-assessment'!$G$3:$G$41,'Self-assessment'!$C$3:$C$41,$C4,'Self-assessment'!$G$3:$G$41,"&gt;0")</f>
        <v>0</v>
      </c>
      <c r="I4" s="71"/>
      <c r="J4" s="82">
        <f>'initial assessment'!J4</f>
        <v>0</v>
      </c>
      <c r="K4" s="71"/>
      <c r="M4" s="21" t="s">
        <v>113</v>
      </c>
      <c r="N4" s="17" t="s">
        <v>88</v>
      </c>
      <c r="O4" s="17">
        <f>COUNTIF('Job Description'!$C$3:$C$41,$N4)*5</f>
        <v>35</v>
      </c>
      <c r="P4" s="17">
        <f>SUMIF('Job Description'!$C$3:$C$41,$N4,'Job Description'!$G$3:$G$41)</f>
        <v>0</v>
      </c>
      <c r="Q4" s="18">
        <f>(P4/O4)*4</f>
        <v>0</v>
      </c>
      <c r="R4" s="18">
        <f>_xlfn.MINIFS('Self-assessment'!$G$3:$G$41,'Self-assessment'!$C$3:'Self-assessment'!$C$41,$C4,'Self-assessment'!$G$3:$G$41,"&gt;0")</f>
        <v>0</v>
      </c>
      <c r="S4" s="22">
        <f>_xlfn.MAXIFS('Self-assessment'!$G$3:$G$41,'Self-assessment'!$C$3:$C$41,$C4,'Self-assessment'!$G$3:$G$41,"&gt;0")</f>
        <v>0</v>
      </c>
      <c r="T4" s="71"/>
      <c r="U4" s="71"/>
      <c r="V4" s="26"/>
      <c r="W4" s="11"/>
    </row>
    <row r="5" spans="1:23" x14ac:dyDescent="0.35">
      <c r="A5" s="10"/>
      <c r="B5" s="21" t="s">
        <v>110</v>
      </c>
      <c r="C5" s="17" t="s">
        <v>108</v>
      </c>
      <c r="D5" s="17">
        <f>COUNTIF('Self-assessment'!$C$3:$C$41,$C5)*5</f>
        <v>25</v>
      </c>
      <c r="E5" s="17">
        <f>SUMIF('Self-assessment'!$C$3:$C$41,$C5,'Self-assessment'!$G$3:$G$41)</f>
        <v>0</v>
      </c>
      <c r="F5" s="18">
        <f t="shared" ref="F5:F10" si="0">(E5/D5)*4</f>
        <v>0</v>
      </c>
      <c r="G5" s="18">
        <f>_xlfn.MINIFS('Self-assessment'!$G$3:$G$41,'Self-assessment'!$C$3:'Self-assessment'!$C$41,$C5,'Self-assessment'!$G$3:$G$41,"&gt;0")</f>
        <v>0</v>
      </c>
      <c r="H5" s="22">
        <f>_xlfn.MAXIFS('Self-assessment'!$G$3:$G$41,'Self-assessment'!$C$3:$C$41,$C5,'Self-assessment'!$G$3:$G$41,"&gt;0")</f>
        <v>0</v>
      </c>
      <c r="I5" s="71"/>
      <c r="J5" s="82">
        <f>'initial assessment'!J5</f>
        <v>0</v>
      </c>
      <c r="K5" s="71"/>
      <c r="M5" s="21" t="s">
        <v>110</v>
      </c>
      <c r="N5" s="17" t="s">
        <v>108</v>
      </c>
      <c r="O5" s="17">
        <f>COUNTIF('Job Description'!$C$3:$C$41,$N5)*5</f>
        <v>25</v>
      </c>
      <c r="P5" s="17">
        <f>SUMIF('Job Description'!$C$3:$C$41,$N5,'Job Description'!$G$3:$G$41)</f>
        <v>0</v>
      </c>
      <c r="Q5" s="18">
        <f t="shared" ref="Q5:Q10" si="1">(P5/O5)*4</f>
        <v>0</v>
      </c>
      <c r="R5" s="18">
        <f>_xlfn.MINIFS('Self-assessment'!$G$3:$G$41,'Self-assessment'!$C$3:'Self-assessment'!$C$41,$C5,'Self-assessment'!$G$3:$G$41,"&gt;0")</f>
        <v>0</v>
      </c>
      <c r="S5" s="22">
        <f>_xlfn.MAXIFS('Self-assessment'!$G$3:$G$41,'Self-assessment'!$C$3:$C$41,$C5,'Self-assessment'!$G$3:$G$41,"&gt;0")</f>
        <v>0</v>
      </c>
      <c r="T5" s="71"/>
      <c r="U5" s="71"/>
      <c r="V5" s="26"/>
      <c r="W5" s="11"/>
    </row>
    <row r="6" spans="1:23" x14ac:dyDescent="0.35">
      <c r="A6" s="10"/>
      <c r="B6" s="23" t="s">
        <v>98</v>
      </c>
      <c r="C6" s="24" t="s">
        <v>92</v>
      </c>
      <c r="D6" s="17">
        <f>COUNTIF('Self-assessment'!$C$3:$C$41,$C6)*5</f>
        <v>10</v>
      </c>
      <c r="E6" s="17">
        <f>SUMIF('Self-assessment'!$C$3:$C$41,$C6,'Self-assessment'!$G$3:$G$41)</f>
        <v>0</v>
      </c>
      <c r="F6" s="18">
        <f t="shared" si="0"/>
        <v>0</v>
      </c>
      <c r="G6" s="18">
        <f>_xlfn.MINIFS('Self-assessment'!$G$3:$G$41,'Self-assessment'!$C$3:'Self-assessment'!$C$41,$C6,'Self-assessment'!$G$3:$G$41,"&gt;0")</f>
        <v>0</v>
      </c>
      <c r="H6" s="22">
        <f>_xlfn.MAXIFS('Self-assessment'!$G$3:$G$41,'Self-assessment'!$C$3:$C$41,$C6,'Self-assessment'!$G$3:$G$41,"&gt;0")</f>
        <v>0</v>
      </c>
      <c r="I6" s="71"/>
      <c r="J6" s="82">
        <f>'initial assessment'!J6</f>
        <v>0</v>
      </c>
      <c r="K6" s="71"/>
      <c r="M6" s="23" t="s">
        <v>98</v>
      </c>
      <c r="N6" s="24" t="s">
        <v>92</v>
      </c>
      <c r="O6" s="17">
        <f>COUNTIF('Job Description'!$C$3:$C$41,$N6)*5</f>
        <v>10</v>
      </c>
      <c r="P6" s="17">
        <f>SUMIF('Job Description'!$C$3:$C$41,$N6,'Job Description'!$G$3:$G$41)</f>
        <v>0</v>
      </c>
      <c r="Q6" s="18">
        <f t="shared" si="1"/>
        <v>0</v>
      </c>
      <c r="R6" s="18">
        <f>_xlfn.MINIFS('Self-assessment'!$G$3:$G$41,'Self-assessment'!$C$3:'Self-assessment'!$C$41,$C6,'Self-assessment'!$G$3:$G$41,"&gt;0")</f>
        <v>0</v>
      </c>
      <c r="S6" s="22">
        <f>_xlfn.MAXIFS('Self-assessment'!$G$3:$G$41,'Self-assessment'!$C$3:$C$41,$C6,'Self-assessment'!$G$3:$G$41,"&gt;0")</f>
        <v>0</v>
      </c>
      <c r="T6" s="71"/>
      <c r="U6" s="71"/>
      <c r="V6" s="26"/>
      <c r="W6" s="11"/>
    </row>
    <row r="7" spans="1:23" x14ac:dyDescent="0.35">
      <c r="A7" s="10"/>
      <c r="B7" s="23" t="s">
        <v>97</v>
      </c>
      <c r="C7" s="24" t="s">
        <v>89</v>
      </c>
      <c r="D7" s="17">
        <f>COUNTIF('Self-assessment'!$C$3:$C$41,$C7)*5</f>
        <v>25</v>
      </c>
      <c r="E7" s="17">
        <f>SUMIF('Self-assessment'!$C$3:$C$41,$C7,'Self-assessment'!$G$3:$G$41)</f>
        <v>0</v>
      </c>
      <c r="F7" s="18">
        <f t="shared" si="0"/>
        <v>0</v>
      </c>
      <c r="G7" s="18">
        <f>_xlfn.MINIFS('Self-assessment'!$G$3:$G$41,'Self-assessment'!$C$3:'Self-assessment'!$C$41,$C7,'Self-assessment'!$G$3:$G$41,"&gt;0")</f>
        <v>0</v>
      </c>
      <c r="H7" s="22">
        <f>_xlfn.MAXIFS('Self-assessment'!$G$3:$G$41,'Self-assessment'!$C$3:$C$41,$C7,'Self-assessment'!$G$3:$G$41,"&gt;0")</f>
        <v>0</v>
      </c>
      <c r="I7" s="71"/>
      <c r="J7" s="82">
        <f>'initial assessment'!J7</f>
        <v>0</v>
      </c>
      <c r="K7" s="71"/>
      <c r="M7" s="23" t="s">
        <v>97</v>
      </c>
      <c r="N7" s="24" t="s">
        <v>89</v>
      </c>
      <c r="O7" s="17">
        <f>COUNTIF('Job Description'!$C$3:$C$41,$N7)*5</f>
        <v>25</v>
      </c>
      <c r="P7" s="17">
        <f>SUMIF('Job Description'!$C$3:$C$41,$N7,'Job Description'!$G$3:$G$41)</f>
        <v>0</v>
      </c>
      <c r="Q7" s="18">
        <f t="shared" si="1"/>
        <v>0</v>
      </c>
      <c r="R7" s="18">
        <f>_xlfn.MINIFS('Self-assessment'!$G$3:$G$41,'Self-assessment'!$C$3:'Self-assessment'!$C$41,$C7,'Self-assessment'!$G$3:$G$41,"&gt;0")</f>
        <v>0</v>
      </c>
      <c r="S7" s="22">
        <f>_xlfn.MAXIFS('Self-assessment'!$G$3:$G$41,'Self-assessment'!$C$3:$C$41,$C7,'Self-assessment'!$G$3:$G$41,"&gt;0")</f>
        <v>0</v>
      </c>
      <c r="T7" s="71"/>
      <c r="U7" s="71"/>
      <c r="V7" s="26"/>
      <c r="W7" s="11"/>
    </row>
    <row r="8" spans="1:23" x14ac:dyDescent="0.35">
      <c r="A8" s="10"/>
      <c r="B8" s="23" t="s">
        <v>96</v>
      </c>
      <c r="C8" s="24" t="s">
        <v>93</v>
      </c>
      <c r="D8" s="17">
        <f>COUNTIF('Self-assessment'!$C$3:$C$41,$C8)*5</f>
        <v>15</v>
      </c>
      <c r="E8" s="17">
        <f>SUMIF('Self-assessment'!$C$3:$C$41,$C8,'Self-assessment'!$G$3:$G$41)</f>
        <v>0</v>
      </c>
      <c r="F8" s="18">
        <f t="shared" si="0"/>
        <v>0</v>
      </c>
      <c r="G8" s="18">
        <f>_xlfn.MINIFS('Self-assessment'!$G$3:$G$41,'Self-assessment'!$C$3:'Self-assessment'!$C$41,$C8,'Self-assessment'!$G$3:$G$41,"&gt;0")</f>
        <v>0</v>
      </c>
      <c r="H8" s="22">
        <f>_xlfn.MAXIFS('Self-assessment'!$G$3:$G$41,'Self-assessment'!$C$3:$C$41,$C8,'Self-assessment'!$G$3:$G$41,"&gt;0")</f>
        <v>0</v>
      </c>
      <c r="I8" s="71"/>
      <c r="J8" s="82">
        <f>'initial assessment'!J8</f>
        <v>0</v>
      </c>
      <c r="K8" s="71"/>
      <c r="M8" s="23" t="s">
        <v>96</v>
      </c>
      <c r="N8" s="24" t="s">
        <v>93</v>
      </c>
      <c r="O8" s="17">
        <f>COUNTIF('Job Description'!$C$3:$C$41,$N8)*5</f>
        <v>15</v>
      </c>
      <c r="P8" s="17">
        <f>SUMIF('Job Description'!$C$3:$C$41,$N8,'Job Description'!$G$3:$G$41)</f>
        <v>0</v>
      </c>
      <c r="Q8" s="18">
        <f t="shared" si="1"/>
        <v>0</v>
      </c>
      <c r="R8" s="18">
        <f>_xlfn.MINIFS('Self-assessment'!$G$3:$G$41,'Self-assessment'!$C$3:'Self-assessment'!$C$41,$C8,'Self-assessment'!$G$3:$G$41,"&gt;0")</f>
        <v>0</v>
      </c>
      <c r="S8" s="22">
        <f>_xlfn.MAXIFS('Self-assessment'!$G$3:$G$41,'Self-assessment'!$C$3:$C$41,$C8,'Self-assessment'!$G$3:$G$41,"&gt;0")</f>
        <v>0</v>
      </c>
      <c r="T8" s="71"/>
      <c r="U8" s="71"/>
      <c r="V8" s="26"/>
      <c r="W8" s="11"/>
    </row>
    <row r="9" spans="1:23" ht="29" x14ac:dyDescent="0.35">
      <c r="A9" s="10"/>
      <c r="B9" s="48" t="s">
        <v>95</v>
      </c>
      <c r="C9" s="24" t="s">
        <v>91</v>
      </c>
      <c r="D9" s="17">
        <f>COUNTIF('Self-assessment'!$C$3:$C$41,$C9)*5</f>
        <v>25</v>
      </c>
      <c r="E9" s="17">
        <f>SUMIF('Self-assessment'!$C$3:$C$41,$C9,'Self-assessment'!$G$3:$G$41)</f>
        <v>0</v>
      </c>
      <c r="F9" s="18">
        <f t="shared" si="0"/>
        <v>0</v>
      </c>
      <c r="G9" s="18">
        <f>_xlfn.MINIFS('Self-assessment'!$G$3:$G$41,'Self-assessment'!$C$3:'Self-assessment'!$C$41,$C9,'Self-assessment'!$G$3:$G$41,"&gt;0")</f>
        <v>0</v>
      </c>
      <c r="H9" s="22">
        <f>_xlfn.MAXIFS('Self-assessment'!$G$3:$G$41,'Self-assessment'!$C$3:$C$41,$C9,'Self-assessment'!$G$3:$G$41,"&gt;0")</f>
        <v>0</v>
      </c>
      <c r="I9" s="71"/>
      <c r="J9" s="82">
        <f>'initial assessment'!J9</f>
        <v>0</v>
      </c>
      <c r="K9" s="71"/>
      <c r="M9" s="48" t="s">
        <v>95</v>
      </c>
      <c r="N9" s="24" t="s">
        <v>91</v>
      </c>
      <c r="O9" s="17">
        <f>COUNTIF('Job Description'!$C$3:$C$41,$N9)*5</f>
        <v>25</v>
      </c>
      <c r="P9" s="17">
        <f>SUMIF('Job Description'!$C$3:$C$41,$N9,'Job Description'!$G$3:$G$41)</f>
        <v>0</v>
      </c>
      <c r="Q9" s="18">
        <f t="shared" si="1"/>
        <v>0</v>
      </c>
      <c r="R9" s="18">
        <f>_xlfn.MINIFS('Self-assessment'!$G$3:$G$41,'Self-assessment'!$C$3:'Self-assessment'!$C$41,$C9,'Self-assessment'!$G$3:$G$41,"&gt;0")</f>
        <v>0</v>
      </c>
      <c r="S9" s="22">
        <f>_xlfn.MAXIFS('Self-assessment'!$G$3:$G$41,'Self-assessment'!$C$3:$C$41,$C9,'Self-assessment'!$G$3:$G$41,"&gt;0")</f>
        <v>0</v>
      </c>
      <c r="T9" s="71"/>
      <c r="U9" s="71"/>
      <c r="V9" s="26"/>
      <c r="W9" s="11"/>
    </row>
    <row r="10" spans="1:23" x14ac:dyDescent="0.35">
      <c r="A10" s="10"/>
      <c r="B10" s="48" t="s">
        <v>94</v>
      </c>
      <c r="C10" s="24" t="s">
        <v>90</v>
      </c>
      <c r="D10" s="17">
        <f>COUNTIF('Self-assessment'!$C$3:$C$41,$C10)*5</f>
        <v>60</v>
      </c>
      <c r="E10" s="17">
        <f>SUMIF('Self-assessment'!$C$3:$C$41,$C10,'Self-assessment'!$G$3:$G$41)</f>
        <v>0</v>
      </c>
      <c r="F10" s="18">
        <f t="shared" si="0"/>
        <v>0</v>
      </c>
      <c r="G10" s="18">
        <f>_xlfn.MINIFS('Self-assessment'!$G$3:$G$41,'Self-assessment'!$C$3:'Self-assessment'!$C$41,$C10,'Self-assessment'!$G$3:$G$41,"&gt;0")</f>
        <v>0</v>
      </c>
      <c r="H10" s="22">
        <f>_xlfn.MAXIFS('Self-assessment'!$G$3:$G$41,'Self-assessment'!$C$3:$C$41,$C10,'Self-assessment'!$G$3:$G$41,"&gt;0")</f>
        <v>0</v>
      </c>
      <c r="I10" s="71"/>
      <c r="J10" s="82">
        <f>'initial assessment'!J10</f>
        <v>0</v>
      </c>
      <c r="K10" s="71"/>
      <c r="M10" s="48" t="s">
        <v>94</v>
      </c>
      <c r="N10" s="24" t="s">
        <v>90</v>
      </c>
      <c r="O10" s="17">
        <f>COUNTIF('Job Description'!$C$3:$C$41,$N10)*5</f>
        <v>60</v>
      </c>
      <c r="P10" s="17">
        <f>SUMIF('Job Description'!$C$3:$C$41,$N10,'Job Description'!$G$3:$G$41)</f>
        <v>0</v>
      </c>
      <c r="Q10" s="18">
        <f t="shared" si="1"/>
        <v>0</v>
      </c>
      <c r="R10" s="18">
        <f>_xlfn.MINIFS('Self-assessment'!$G$3:$G$41,'Self-assessment'!$C$3:'Self-assessment'!$C$41,$C10,'Self-assessment'!$G$3:$G$41,"&gt;0")</f>
        <v>0</v>
      </c>
      <c r="S10" s="22">
        <f>_xlfn.MAXIFS('Self-assessment'!$G$3:$G$41,'Self-assessment'!$C$3:$C$41,$C10,'Self-assessment'!$G$3:$G$41,"&gt;0")</f>
        <v>0</v>
      </c>
      <c r="T10" s="71"/>
      <c r="U10" s="71"/>
      <c r="V10" s="26"/>
      <c r="W10" s="11"/>
    </row>
    <row r="11" spans="1:23" x14ac:dyDescent="0.35">
      <c r="A11" s="12"/>
      <c r="V11" s="26"/>
      <c r="W11" s="11"/>
    </row>
    <row r="12" spans="1:23" x14ac:dyDescent="0.35">
      <c r="A12" s="12"/>
      <c r="V12" s="26"/>
      <c r="W12" s="11"/>
    </row>
    <row r="13" spans="1:23" x14ac:dyDescent="0.35">
      <c r="A13" s="12"/>
      <c r="V13" s="26"/>
      <c r="W13" s="11"/>
    </row>
    <row r="14" spans="1:23" x14ac:dyDescent="0.35">
      <c r="A14" s="12"/>
      <c r="V14" s="26"/>
      <c r="W14" s="11"/>
    </row>
    <row r="15" spans="1:23" x14ac:dyDescent="0.35">
      <c r="A15" s="12"/>
      <c r="V15" s="26"/>
      <c r="W15" s="11"/>
    </row>
    <row r="16" spans="1:23" x14ac:dyDescent="0.35">
      <c r="A16" s="12"/>
      <c r="V16" s="26"/>
      <c r="W16" s="11"/>
    </row>
    <row r="17" spans="1:23" x14ac:dyDescent="0.35">
      <c r="A17" s="12"/>
      <c r="V17" s="26"/>
      <c r="W17" s="11"/>
    </row>
    <row r="18" spans="1:23" x14ac:dyDescent="0.35">
      <c r="A18" s="12"/>
      <c r="V18" s="26"/>
      <c r="W18" s="11"/>
    </row>
    <row r="19" spans="1:23" x14ac:dyDescent="0.35">
      <c r="A19" s="12"/>
      <c r="V19" s="26"/>
      <c r="W19" s="11"/>
    </row>
    <row r="20" spans="1:23" x14ac:dyDescent="0.35">
      <c r="A20" s="12"/>
      <c r="V20" s="26"/>
      <c r="W20" s="11"/>
    </row>
    <row r="21" spans="1:23" x14ac:dyDescent="0.35">
      <c r="A21" s="12"/>
      <c r="V21" s="26"/>
      <c r="W21" s="11"/>
    </row>
    <row r="22" spans="1:23" x14ac:dyDescent="0.35">
      <c r="A22" s="12"/>
      <c r="V22" s="26"/>
      <c r="W22" s="11"/>
    </row>
    <row r="23" spans="1:23" x14ac:dyDescent="0.35">
      <c r="A23" s="12"/>
      <c r="V23" s="26"/>
      <c r="W23" s="11"/>
    </row>
    <row r="24" spans="1:23" x14ac:dyDescent="0.35">
      <c r="A24" s="12"/>
      <c r="V24" s="26"/>
      <c r="W24" s="11"/>
    </row>
    <row r="25" spans="1:23" x14ac:dyDescent="0.35">
      <c r="A25" s="12"/>
      <c r="V25" s="26"/>
      <c r="W25" s="11"/>
    </row>
    <row r="26" spans="1:23" x14ac:dyDescent="0.35">
      <c r="A26" s="12"/>
      <c r="V26" s="26"/>
      <c r="W26" s="11"/>
    </row>
    <row r="27" spans="1:23" x14ac:dyDescent="0.35">
      <c r="A27" s="12"/>
      <c r="V27" s="26"/>
      <c r="W27" s="11"/>
    </row>
    <row r="28" spans="1:23" ht="15" thickBot="1" x14ac:dyDescent="0.4">
      <c r="A28" s="12"/>
      <c r="V28" s="27"/>
      <c r="W28" s="11"/>
    </row>
    <row r="29" spans="1:23" ht="15" thickBot="1" x14ac:dyDescent="0.4">
      <c r="A29" s="12"/>
      <c r="V29" s="16" t="s">
        <v>131</v>
      </c>
      <c r="W29" s="11"/>
    </row>
    <row r="30" spans="1:23" x14ac:dyDescent="0.35">
      <c r="A30" s="12"/>
      <c r="V30" s="28"/>
      <c r="W30" s="11"/>
    </row>
    <row r="31" spans="1:23" x14ac:dyDescent="0.35">
      <c r="A31" s="12"/>
      <c r="V31" s="29"/>
      <c r="W31" s="11"/>
    </row>
    <row r="32" spans="1:23" x14ac:dyDescent="0.35">
      <c r="A32" s="12"/>
      <c r="V32" s="29"/>
      <c r="W32" s="11"/>
    </row>
    <row r="33" spans="1:23" x14ac:dyDescent="0.35">
      <c r="A33" s="12"/>
      <c r="V33" s="29"/>
      <c r="W33" s="11"/>
    </row>
    <row r="34" spans="1:23" x14ac:dyDescent="0.35">
      <c r="A34" s="12"/>
      <c r="V34" s="29"/>
      <c r="W34" s="11"/>
    </row>
    <row r="35" spans="1:23" x14ac:dyDescent="0.35">
      <c r="A35" s="12"/>
      <c r="V35" s="29"/>
      <c r="W35" s="11"/>
    </row>
    <row r="36" spans="1:23" x14ac:dyDescent="0.35">
      <c r="A36" s="12"/>
      <c r="V36" s="29"/>
      <c r="W36" s="11"/>
    </row>
    <row r="37" spans="1:23" x14ac:dyDescent="0.35">
      <c r="A37" s="12"/>
      <c r="V37" s="29"/>
      <c r="W37" s="11"/>
    </row>
    <row r="38" spans="1:23" x14ac:dyDescent="0.35">
      <c r="A38" s="12"/>
      <c r="V38" s="29"/>
      <c r="W38" s="11"/>
    </row>
    <row r="39" spans="1:23" x14ac:dyDescent="0.35">
      <c r="A39" s="12"/>
      <c r="V39" s="29"/>
      <c r="W39" s="11"/>
    </row>
    <row r="40" spans="1:23" x14ac:dyDescent="0.35">
      <c r="A40" s="12"/>
      <c r="V40" s="29"/>
      <c r="W40" s="11"/>
    </row>
    <row r="41" spans="1:23" x14ac:dyDescent="0.35">
      <c r="A41" s="12"/>
      <c r="V41" s="29"/>
      <c r="W41" s="11"/>
    </row>
    <row r="42" spans="1:23" x14ac:dyDescent="0.35">
      <c r="A42" s="12"/>
      <c r="V42" s="29"/>
      <c r="W42" s="11"/>
    </row>
    <row r="43" spans="1:23" x14ac:dyDescent="0.35">
      <c r="A43" s="12"/>
      <c r="V43" s="29"/>
      <c r="W43" s="11"/>
    </row>
    <row r="44" spans="1:23" x14ac:dyDescent="0.35">
      <c r="A44" s="12"/>
      <c r="V44" s="29"/>
      <c r="W44" s="11"/>
    </row>
    <row r="45" spans="1:23" x14ac:dyDescent="0.35">
      <c r="A45" s="12"/>
      <c r="V45" s="29"/>
      <c r="W45" s="11"/>
    </row>
    <row r="46" spans="1:23" x14ac:dyDescent="0.35">
      <c r="A46" s="12"/>
      <c r="V46" s="29"/>
      <c r="W46" s="11"/>
    </row>
    <row r="47" spans="1:23" x14ac:dyDescent="0.35">
      <c r="A47" s="12"/>
      <c r="V47" s="29"/>
      <c r="W47" s="11"/>
    </row>
    <row r="48" spans="1:23" ht="15" thickBot="1" x14ac:dyDescent="0.4">
      <c r="A48" s="12"/>
      <c r="V48" s="30"/>
      <c r="W48" s="11"/>
    </row>
    <row r="49" spans="1:23" ht="6.75" customHeight="1" thickBot="1" x14ac:dyDescent="0.4">
      <c r="A49" s="13"/>
      <c r="B49" s="14"/>
      <c r="C49" s="14"/>
      <c r="D49" s="14"/>
      <c r="E49" s="14"/>
      <c r="F49" s="14"/>
      <c r="G49" s="14"/>
      <c r="H49" s="14"/>
      <c r="I49" s="14"/>
      <c r="J49" s="14"/>
      <c r="K49" s="14"/>
      <c r="L49" s="14"/>
      <c r="M49" s="14"/>
      <c r="N49" s="14"/>
      <c r="O49" s="14"/>
      <c r="P49" s="14"/>
      <c r="Q49" s="14"/>
      <c r="R49" s="14"/>
      <c r="S49" s="14"/>
      <c r="T49" s="14"/>
      <c r="U49" s="14"/>
      <c r="V49" s="14"/>
      <c r="W49" s="15"/>
    </row>
  </sheetData>
  <pageMargins left="0.23622047244094491" right="0.23622047244094491" top="0.19685039370078741" bottom="0.35433070866141736" header="0" footer="0"/>
  <pageSetup paperSize="9" scale="78" fitToHeight="0" orientation="landscape" horizontalDpi="0" verticalDpi="0" r:id="rId1"/>
  <drawing r:id="rId2"/>
</worksheet>
</file>

<file path=docMetadata/LabelInfo.xml><?xml version="1.0" encoding="utf-8"?>
<clbl:labelList xmlns:clbl="http://schemas.microsoft.com/office/2020/mipLabelMetadata">
  <clbl:label id="{0c7fd77c-bf1b-4511-8a0d-ca095442aa9f}" enabled="1" method="Privileged" siteId="{07ef1208-413c-4b5e-9cdd-64ef305754f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definitions</vt:lpstr>
      <vt:lpstr>initial assessment</vt:lpstr>
      <vt:lpstr>Self-assessment</vt:lpstr>
      <vt:lpstr>Job Description</vt:lpstr>
      <vt:lpstr>Assessment of your Programme</vt:lpstr>
      <vt:lpstr>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 Hatfield</dc:creator>
  <cp:lastModifiedBy>Ian Smith</cp:lastModifiedBy>
  <cp:lastPrinted>2023-04-13T07:52:13Z</cp:lastPrinted>
  <dcterms:created xsi:type="dcterms:W3CDTF">2021-04-09T12:52:37Z</dcterms:created>
  <dcterms:modified xsi:type="dcterms:W3CDTF">2026-02-17T00:14:20Z</dcterms:modified>
</cp:coreProperties>
</file>