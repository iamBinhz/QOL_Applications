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Đóc-cu-mừn\University-Documents-IBD-NEU\PSBF\34%\"/>
    </mc:Choice>
  </mc:AlternateContent>
  <xr:revisionPtr revIDLastSave="0" documentId="13_ncr:1_{B6AA609F-A018-4E34-9884-AC8A2EA1235C}" xr6:coauthVersionLast="47" xr6:coauthVersionMax="47" xr10:uidLastSave="{00000000-0000-0000-0000-000000000000}"/>
  <bookViews>
    <workbookView xWindow="-120" yWindow="-120" windowWidth="29040" windowHeight="15720" activeTab="4" xr2:uid="{4AAC4E6C-FC0F-439F-86EB-BFE6B8B38FFD}"/>
  </bookViews>
  <sheets>
    <sheet name="definitions" sheetId="4" r:id="rId1"/>
    <sheet name="initial assessment" sheetId="6" r:id="rId2"/>
    <sheet name="Self-assessment" sheetId="2" r:id="rId3"/>
    <sheet name="Job Description" sheetId="7" r:id="rId4"/>
    <sheet name="Assessment of your Programme" sheetId="9" r:id="rId5"/>
    <sheet name="Result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 l="1"/>
  <c r="O10" i="3"/>
  <c r="O9" i="3"/>
  <c r="O8" i="3"/>
  <c r="O7" i="3"/>
  <c r="P6" i="3"/>
  <c r="O6" i="3"/>
  <c r="O5" i="3"/>
  <c r="O4" i="3"/>
  <c r="F41" i="9"/>
  <c r="G41" i="9" s="1"/>
  <c r="F40" i="9"/>
  <c r="G40" i="9" s="1"/>
  <c r="F39" i="9"/>
  <c r="G39" i="9" s="1"/>
  <c r="F38" i="9"/>
  <c r="G38" i="9" s="1"/>
  <c r="F37" i="9"/>
  <c r="G37" i="9" s="1"/>
  <c r="F36" i="9"/>
  <c r="G36" i="9" s="1"/>
  <c r="F35" i="9"/>
  <c r="G35" i="9" s="1"/>
  <c r="F34" i="9"/>
  <c r="G34" i="9" s="1"/>
  <c r="F33" i="9"/>
  <c r="G33" i="9" s="1"/>
  <c r="F32" i="9"/>
  <c r="G32" i="9" s="1"/>
  <c r="F31" i="9"/>
  <c r="G31" i="9" s="1"/>
  <c r="F30" i="9"/>
  <c r="G30" i="9" s="1"/>
  <c r="F29" i="9"/>
  <c r="G29" i="9" s="1"/>
  <c r="F28" i="9"/>
  <c r="G28" i="9" s="1"/>
  <c r="F27" i="9"/>
  <c r="G27" i="9" s="1"/>
  <c r="F26" i="9"/>
  <c r="G26" i="9" s="1"/>
  <c r="F25" i="9"/>
  <c r="G25" i="9" s="1"/>
  <c r="F24" i="9"/>
  <c r="G24" i="9" s="1"/>
  <c r="F23" i="9"/>
  <c r="G23" i="9" s="1"/>
  <c r="F22" i="9"/>
  <c r="G22" i="9" s="1"/>
  <c r="F21" i="9"/>
  <c r="G21" i="9" s="1"/>
  <c r="F20" i="9"/>
  <c r="G20" i="9" s="1"/>
  <c r="F19" i="9"/>
  <c r="G19" i="9" s="1"/>
  <c r="F18" i="9"/>
  <c r="G18" i="9" s="1"/>
  <c r="F17" i="9"/>
  <c r="G17" i="9" s="1"/>
  <c r="F16" i="9"/>
  <c r="G16" i="9" s="1"/>
  <c r="F15" i="9"/>
  <c r="G15" i="9" s="1"/>
  <c r="F14" i="9"/>
  <c r="G14" i="9" s="1"/>
  <c r="F13" i="9"/>
  <c r="G13" i="9" s="1"/>
  <c r="F12" i="9"/>
  <c r="G12" i="9" s="1"/>
  <c r="F11" i="9"/>
  <c r="G11" i="9" s="1"/>
  <c r="F10" i="9"/>
  <c r="G10" i="9" s="1"/>
  <c r="F9" i="9"/>
  <c r="G9" i="9" s="1"/>
  <c r="F8" i="9"/>
  <c r="G8" i="9" s="1"/>
  <c r="F7" i="9"/>
  <c r="G7" i="9" s="1"/>
  <c r="F6" i="9"/>
  <c r="G6" i="9" s="1"/>
  <c r="F5" i="9"/>
  <c r="G5" i="9" s="1"/>
  <c r="F4" i="9"/>
  <c r="G4" i="9" s="1"/>
  <c r="F3" i="9"/>
  <c r="G3" i="9" s="1"/>
  <c r="F41" i="7"/>
  <c r="G41" i="7" s="1"/>
  <c r="F40" i="7"/>
  <c r="G40" i="7" s="1"/>
  <c r="F39" i="7"/>
  <c r="G39" i="7" s="1"/>
  <c r="F38" i="7"/>
  <c r="G38" i="7" s="1"/>
  <c r="F37" i="7"/>
  <c r="G37" i="7" s="1"/>
  <c r="F36" i="7"/>
  <c r="G36" i="7" s="1"/>
  <c r="F35" i="7"/>
  <c r="G35" i="7" s="1"/>
  <c r="F34" i="7"/>
  <c r="G34" i="7" s="1"/>
  <c r="F33" i="7"/>
  <c r="G33" i="7" s="1"/>
  <c r="F32" i="7"/>
  <c r="G32" i="7" s="1"/>
  <c r="F31" i="7"/>
  <c r="G31" i="7" s="1"/>
  <c r="F30" i="7"/>
  <c r="G30" i="7" s="1"/>
  <c r="F29" i="7"/>
  <c r="G29" i="7" s="1"/>
  <c r="F28" i="7"/>
  <c r="G28" i="7" s="1"/>
  <c r="F27" i="7"/>
  <c r="G27" i="7" s="1"/>
  <c r="F26" i="7"/>
  <c r="G26" i="7" s="1"/>
  <c r="F25" i="7"/>
  <c r="G25" i="7" s="1"/>
  <c r="F24" i="7"/>
  <c r="G24" i="7" s="1"/>
  <c r="F23" i="7"/>
  <c r="G23" i="7" s="1"/>
  <c r="F22" i="7"/>
  <c r="G22" i="7" s="1"/>
  <c r="F21" i="7"/>
  <c r="G21" i="7" s="1"/>
  <c r="F20" i="7"/>
  <c r="G20" i="7" s="1"/>
  <c r="F19" i="7"/>
  <c r="G19" i="7" s="1"/>
  <c r="F18" i="7"/>
  <c r="G18" i="7" s="1"/>
  <c r="F17" i="7"/>
  <c r="G17" i="7" s="1"/>
  <c r="F16" i="7"/>
  <c r="G16" i="7" s="1"/>
  <c r="F15" i="7"/>
  <c r="G15" i="7" s="1"/>
  <c r="F14" i="7"/>
  <c r="G14" i="7" s="1"/>
  <c r="F13" i="7"/>
  <c r="G13" i="7" s="1"/>
  <c r="F12" i="7"/>
  <c r="G12" i="7" s="1"/>
  <c r="F11" i="7"/>
  <c r="G11" i="7" s="1"/>
  <c r="F10" i="7"/>
  <c r="G10" i="7" s="1"/>
  <c r="F9" i="7"/>
  <c r="G9" i="7" s="1"/>
  <c r="F8" i="7"/>
  <c r="G8" i="7" s="1"/>
  <c r="F7" i="7"/>
  <c r="G7" i="7" s="1"/>
  <c r="F6" i="7"/>
  <c r="G6" i="7" s="1"/>
  <c r="F5" i="7"/>
  <c r="G5" i="7" s="1"/>
  <c r="F4" i="7"/>
  <c r="G4" i="7" s="1"/>
  <c r="F3" i="7"/>
  <c r="G3" i="7" s="1"/>
  <c r="F41" i="2"/>
  <c r="G41" i="2" s="1"/>
  <c r="F37" i="2"/>
  <c r="G37" i="2" s="1"/>
  <c r="F35" i="2"/>
  <c r="F31" i="2"/>
  <c r="F30" i="2"/>
  <c r="F18" i="2"/>
  <c r="F11" i="2"/>
  <c r="F10" i="2"/>
  <c r="F9" i="2"/>
  <c r="F8" i="2"/>
  <c r="F7" i="2"/>
  <c r="F6" i="2"/>
  <c r="F40" i="2"/>
  <c r="G40" i="2" s="1"/>
  <c r="F39" i="2"/>
  <c r="F24" i="2"/>
  <c r="F15" i="2"/>
  <c r="F3" i="2"/>
  <c r="F34" i="2"/>
  <c r="G34" i="2" s="1"/>
  <c r="F26" i="2"/>
  <c r="F14" i="2"/>
  <c r="F28" i="2"/>
  <c r="F25" i="2"/>
  <c r="G25" i="2" s="1"/>
  <c r="F22" i="2"/>
  <c r="F21" i="2"/>
  <c r="F16" i="2"/>
  <c r="F19" i="2"/>
  <c r="F13" i="2"/>
  <c r="F36" i="2"/>
  <c r="F33" i="2"/>
  <c r="F29" i="2"/>
  <c r="F23" i="2"/>
  <c r="F17" i="2"/>
  <c r="F38" i="2"/>
  <c r="F32" i="2"/>
  <c r="F27" i="2"/>
  <c r="F20" i="2"/>
  <c r="G20" i="2" s="1"/>
  <c r="F12" i="2"/>
  <c r="G12" i="2" s="1"/>
  <c r="F5" i="2"/>
  <c r="I10" i="6"/>
  <c r="J10" i="6" s="1"/>
  <c r="J10" i="3" s="1"/>
  <c r="I9" i="6"/>
  <c r="J9" i="6" s="1"/>
  <c r="J9" i="3" s="1"/>
  <c r="I8" i="6"/>
  <c r="J8" i="6" s="1"/>
  <c r="J8" i="3" s="1"/>
  <c r="I7" i="6"/>
  <c r="J7" i="6" s="1"/>
  <c r="J7" i="3" s="1"/>
  <c r="I6" i="6"/>
  <c r="J6" i="6" s="1"/>
  <c r="J6" i="3" s="1"/>
  <c r="I5" i="6"/>
  <c r="J5" i="6" s="1"/>
  <c r="J5" i="3" s="1"/>
  <c r="I4" i="6"/>
  <c r="J4" i="6" s="1"/>
  <c r="J4" i="3" s="1"/>
  <c r="D5" i="3"/>
  <c r="D10" i="3"/>
  <c r="D9" i="3"/>
  <c r="D8" i="3"/>
  <c r="D7" i="3"/>
  <c r="D6" i="3"/>
  <c r="D4" i="3"/>
  <c r="G32" i="2" l="1"/>
  <c r="G33" i="2"/>
  <c r="G31" i="2"/>
  <c r="G30" i="2"/>
  <c r="G28" i="2"/>
  <c r="G24" i="2"/>
  <c r="G23" i="2"/>
  <c r="G18" i="2"/>
  <c r="G17" i="2"/>
  <c r="G16" i="2"/>
  <c r="G15" i="2"/>
  <c r="E9" i="3" s="1"/>
  <c r="F9" i="3" s="1"/>
  <c r="G14" i="2"/>
  <c r="G4" i="2"/>
  <c r="G36" i="2"/>
  <c r="G5" i="2"/>
  <c r="G19" i="2"/>
  <c r="G38" i="2"/>
  <c r="G6" i="2"/>
  <c r="G39" i="2"/>
  <c r="G7" i="2"/>
  <c r="G21" i="2"/>
  <c r="E7" i="3" s="1"/>
  <c r="F7" i="3" s="1"/>
  <c r="G35" i="2"/>
  <c r="G13" i="2"/>
  <c r="G8" i="2"/>
  <c r="G22" i="2"/>
  <c r="G9" i="2"/>
  <c r="H10" i="3" s="1"/>
  <c r="G10" i="2"/>
  <c r="G11" i="2"/>
  <c r="G26" i="2"/>
  <c r="R8" i="3" s="1"/>
  <c r="G27" i="2"/>
  <c r="G29" i="2"/>
  <c r="G3" i="2"/>
  <c r="P9" i="3"/>
  <c r="Q9" i="3" s="1"/>
  <c r="P4" i="3"/>
  <c r="Q4" i="3" s="1"/>
  <c r="P10" i="3"/>
  <c r="Q10" i="3" s="1"/>
  <c r="P8" i="3"/>
  <c r="Q8" i="3" s="1"/>
  <c r="P7" i="3"/>
  <c r="Q7" i="3" s="1"/>
  <c r="P5" i="3"/>
  <c r="Q5" i="3" s="1"/>
  <c r="Q6" i="3"/>
  <c r="G9" i="3" l="1"/>
  <c r="G5" i="3"/>
  <c r="R9" i="3"/>
  <c r="S9" i="3"/>
  <c r="R5" i="3"/>
  <c r="E5" i="3"/>
  <c r="F5" i="3" s="1"/>
  <c r="H5" i="3"/>
  <c r="S5" i="3"/>
  <c r="E4" i="3"/>
  <c r="F4" i="3" s="1"/>
  <c r="S7" i="3"/>
  <c r="S6" i="3"/>
  <c r="H6" i="3"/>
  <c r="G6" i="3"/>
  <c r="E6" i="3"/>
  <c r="F6" i="3" s="1"/>
  <c r="R6" i="3"/>
  <c r="S10" i="3"/>
  <c r="G10" i="3"/>
  <c r="E10" i="3"/>
  <c r="F10" i="3" s="1"/>
  <c r="H4" i="3"/>
  <c r="S4" i="3"/>
  <c r="H9" i="3"/>
  <c r="G8" i="3"/>
  <c r="R4" i="3"/>
  <c r="H8" i="3"/>
  <c r="R10" i="3"/>
  <c r="G7" i="3"/>
  <c r="S8" i="3"/>
  <c r="E8" i="3"/>
  <c r="F8" i="3" s="1"/>
  <c r="G4" i="3"/>
  <c r="R7" i="3"/>
  <c r="H7" i="3"/>
</calcChain>
</file>

<file path=xl/sharedStrings.xml><?xml version="1.0" encoding="utf-8"?>
<sst xmlns="http://schemas.openxmlformats.org/spreadsheetml/2006/main" count="770" uniqueCount="259">
  <si>
    <t>Intellectual ability</t>
  </si>
  <si>
    <t>Ability to learn quickly and easily</t>
  </si>
  <si>
    <t>Ability to observe, gather, select, and evaluate facts</t>
  </si>
  <si>
    <t>Good judgment</t>
  </si>
  <si>
    <t>Inductive and deductive reasoning</t>
  </si>
  <si>
    <t>Ability to synthesize and generalize</t>
  </si>
  <si>
    <t>Creative imagination and original thinking</t>
  </si>
  <si>
    <t>Ability to understand people and work with them</t>
  </si>
  <si>
    <t>Respect and tolerance for other people</t>
  </si>
  <si>
    <t>Ability to anticipate and evaluate human reactions</t>
  </si>
  <si>
    <t>Ability to gain trust and respect</t>
  </si>
  <si>
    <t>Courtesy and good manners</t>
  </si>
  <si>
    <t>Ability to listen</t>
  </si>
  <si>
    <t>Facility in oral and written communication</t>
  </si>
  <si>
    <t>Ability to share knowledge, teach, and train people</t>
  </si>
  <si>
    <t>Ability to persuade and motivate</t>
  </si>
  <si>
    <t>Intellectual and emotional maturity</t>
  </si>
  <si>
    <t>Stability of behaviour and action</t>
  </si>
  <si>
    <t>Independence in drawing unbiased conclusions</t>
  </si>
  <si>
    <t>Ability to withstand pressures, and live with frustrations and uncertainties</t>
  </si>
  <si>
    <t>Ability to act with poise, in a calm and objective manner</t>
  </si>
  <si>
    <t>Flexibility and adaptability to changed conditions</t>
  </si>
  <si>
    <t>Personal drive and initiative</t>
  </si>
  <si>
    <t>Right degree of self-confidence</t>
  </si>
  <si>
    <t>Healthy ambition</t>
  </si>
  <si>
    <t>Entrepreneurial spirit</t>
  </si>
  <si>
    <t>Courage, initiative, and perseverance in action</t>
  </si>
  <si>
    <t>Ethics and integrity</t>
  </si>
  <si>
    <t>Genuine desire to help others</t>
  </si>
  <si>
    <t>Extreme honesty</t>
  </si>
  <si>
    <t>Ability to recognize the limitations of one's competence</t>
  </si>
  <si>
    <t>Ability to admit mistakes and learn from failure</t>
  </si>
  <si>
    <t>area</t>
  </si>
  <si>
    <t>int</t>
  </si>
  <si>
    <t>cr</t>
  </si>
  <si>
    <t>is</t>
  </si>
  <si>
    <t>co</t>
  </si>
  <si>
    <t>re</t>
  </si>
  <si>
    <t>Ability to communicate</t>
  </si>
  <si>
    <t>eth</t>
  </si>
  <si>
    <t>sa</t>
  </si>
  <si>
    <t>Instructions</t>
  </si>
  <si>
    <t>3. Putting 1 in the column for the quality</t>
  </si>
  <si>
    <t>Quality</t>
  </si>
  <si>
    <t>4. Complete for all of the questions</t>
  </si>
  <si>
    <t>5. when completed (and not before) review the results on the Results Sheet</t>
  </si>
  <si>
    <t>Mean</t>
  </si>
  <si>
    <t>Max</t>
  </si>
  <si>
    <t>Min</t>
  </si>
  <si>
    <t>Category</t>
  </si>
  <si>
    <t>a general mental ability for reasoning, planning, solving problems, think abstractly, comprehending complex ideas, and learning</t>
  </si>
  <si>
    <t>A quick learner is someone who can understand and process information in a relatively short space of time</t>
  </si>
  <si>
    <t>using all of the senses, as appropriate, to find out about the characteristics, properties and attributes of objects, places and events, critically evaulate, apply reasoning and critical thinking to diverse situations and circumstances</t>
  </si>
  <si>
    <t>make decisions that are beneficial and well-informed. Considers, risk, consequences, impacts and weighing up options to aviod harmful outcomes.</t>
  </si>
  <si>
    <t>Applying reasoning either specific to general or general to specific and abductive, knowing when and where to apply which type of reasoning and when others apply reasoning</t>
  </si>
  <si>
    <t>bringing information together from a variety of sources and forming new ideas about the topics and using prior knowledge, skill and understanding to infer possible outcomes.</t>
  </si>
  <si>
    <t>form original ideas and mental images, while original thinking is the ability to come up with unique solutions to problems. the ability to create new ideas or solutions without prior training. It involves building on existing ideas to create new perspectives</t>
  </si>
  <si>
    <t>empathy, active listening, patience, communication and collaboration skills. People skills, getting along, Emotional intelligence</t>
  </si>
  <si>
    <t>treating them with dignity and valuing their unique qualities and accepting that people can have different beliefs, ideas, and values.</t>
  </si>
  <si>
    <t>predict that an event will lead to a future state—emotional, mental, physiological and phsycal and then assess and judge the possible reactions of others.</t>
  </si>
  <si>
    <t>he capacity to be dependable, honest, and accountable, and to demonstrate integrity and expertise. Accountability, honesty, consistency, supportive, open communication, transparancy and reliability.</t>
  </si>
  <si>
    <t>The capacity to covey messages to others through speaking, writing, reading, listening, reflection using verbal and non-verbal elements to achive the goals of communicating</t>
  </si>
  <si>
    <t>the process of receiving, constructing meaning from and responding to spoken and/or nonverbal messages and confirming common understanding</t>
  </si>
  <si>
    <t>articulate thoughts and express ideas effectively using oral, written and non-verbal communication skills</t>
  </si>
  <si>
    <t>foster learning in others sharing knowledge and expertise, guiding and nurturing others in their learning</t>
  </si>
  <si>
    <t>the ability to influence other people's thoughts and opinions using convincing arguments and facts; and to encourage and inspireothers to boost productivity and improve work quality</t>
  </si>
  <si>
    <t>Intellectual maturity is the ability to use logic and reason to learn and solve problems. Emotional maturity is the ability to understand and manage emotions, especially in stressful or conflicting situations</t>
  </si>
  <si>
    <t>consistency of behaviour (attitude) and action (deed or doing something). Somewhat reliable</t>
  </si>
  <si>
    <t>Drawing on evidence and knowledge to come to some conclusion or recommendation recognising and addressing possible biases that may effect such outcome</t>
  </si>
  <si>
    <t>Resilence ability to withstand and bounce back from difficult or tricky situations or circumstances and deal with own and others frustrations and uncertainties</t>
  </si>
  <si>
    <t>Composure, level headedness, calmness in the face of aversity, remaining constructive and objective</t>
  </si>
  <si>
    <t>The ability to do what needs to be done without being prompted by others or the willingness to take a fresh approach</t>
  </si>
  <si>
    <t>a realistic sense of your abilities and a positive belief in yourself. Feeling of trust in yourself that allows you to take on challenges and succeed. knowing strengths and weakness well, and have a positive view of yourself. You set realistic expectations and goals, communicate assertively, and can handle criticism well.</t>
  </si>
  <si>
    <t>a strong desire to achieve goals in a way that's constructive and balanced with all aspects of one's life</t>
  </si>
  <si>
    <t>embodiment of a tenacious spirit that refuses to surrender in the face of obstacles, willing to face discomfort and fear. Physical, moral, social, interlectual and emotional courage.</t>
  </si>
  <si>
    <t>acting with the greater good in mind, doing what is best. It is principled, honest and just doing the right thing at the right time with the right things.</t>
  </si>
  <si>
    <t>adherence to the facts, fairness and straightforwardness of conduct and thought.</t>
  </si>
  <si>
    <t>Knowing where your knowledge, skills and abilities are limited and how they apply to doing or achiving something successfully or efficently</t>
  </si>
  <si>
    <t>to understand that failure and mistakes are opportunities for learning, feedback and even creativity. Learning from consequential events or circumstances, having a growth mindset</t>
  </si>
  <si>
    <t>Polite behaviour, action or remark; shows respects towards feelings and sentiments of others living in the surroundings</t>
  </si>
  <si>
    <t>skills and abilities that allow people to change their plans, ideas, and priorities to fit new or changing circumstances. Allowing for contingencies and ability to address situations or circumstances as they occur</t>
  </si>
  <si>
    <t>proactive, Visonary, taking risks, and seeking out new opportunities. It's a way of thinking that drives people to create change and improve the future.</t>
  </si>
  <si>
    <t>when it is motivated by a desire to benefit someone other than oneself for that person's sake</t>
  </si>
  <si>
    <t>Element</t>
  </si>
  <si>
    <t>Descriptor</t>
  </si>
  <si>
    <t>Guide on what it means in this context</t>
  </si>
  <si>
    <t>Comments</t>
  </si>
  <si>
    <t>Justification</t>
  </si>
  <si>
    <t>A</t>
  </si>
  <si>
    <t>C</t>
  </si>
  <si>
    <t>F</t>
  </si>
  <si>
    <t>E</t>
  </si>
  <si>
    <t>B</t>
  </si>
  <si>
    <t>D</t>
  </si>
  <si>
    <t>Professionalism &amp; Organisational Skills</t>
  </si>
  <si>
    <t>Feedback, Development &amp; Career Management</t>
  </si>
  <si>
    <t>Collaboration &amp; Ways of Working</t>
  </si>
  <si>
    <t>Stakeholder &amp; Customer Awareness</t>
  </si>
  <si>
    <t>Research &amp; Delivery Skills</t>
  </si>
  <si>
    <t>Competences/Capabilities as listed by Canadian Management Consultancy Competence Framework</t>
  </si>
  <si>
    <t>https://www.cmc-canada.ca/web/default/files/CMC_Competency_Framework_2018.pdf</t>
  </si>
  <si>
    <t>Economic reasoning (micro/ macro fundamentals)</t>
  </si>
  <si>
    <t>Policy analysis &amp; trade-off thinking</t>
  </si>
  <si>
    <t>Econometrics &amp; causal inference</t>
  </si>
  <si>
    <t>Forecasting / scenario analysis</t>
  </si>
  <si>
    <t>Data handling (cleaning, structuring datasets)</t>
  </si>
  <si>
    <t>Tools (Excel + R/Python/Stata/AI tools)</t>
  </si>
  <si>
    <t>Data visualisation &amp; dashboards</t>
  </si>
  <si>
    <t>A1</t>
  </si>
  <si>
    <t>tech</t>
  </si>
  <si>
    <t>Economic Skills</t>
  </si>
  <si>
    <t>2. in the columns headed 1 to 4 for the question rank yourself by</t>
  </si>
  <si>
    <t>your ranking</t>
  </si>
  <si>
    <t>Economics Thinking Capability</t>
  </si>
  <si>
    <t>I am developing this</t>
  </si>
  <si>
    <t>I am aware of this</t>
  </si>
  <si>
    <t>I am competent in this</t>
  </si>
  <si>
    <t>I am strong in this</t>
  </si>
  <si>
    <t>I don't know what this is</t>
  </si>
  <si>
    <t>Are these competences and skills covered by any module across your first year?</t>
  </si>
  <si>
    <t>Outline the modules and the tasks in those modules where you either learnt or developed the skill and competence you claim</t>
  </si>
  <si>
    <t>Job does not require this</t>
  </si>
  <si>
    <t>job requires me to be aware of this</t>
  </si>
  <si>
    <t>job requires me to be developing this</t>
  </si>
  <si>
    <t>job requires me to be competent in this</t>
  </si>
  <si>
    <t>job requires me to be strongly competent in this</t>
  </si>
  <si>
    <t>not covered at all on my programme</t>
  </si>
  <si>
    <t>I am aware of this on my programme (but I have not done it)</t>
  </si>
  <si>
    <t>I am developing this with modules on my programme</t>
  </si>
  <si>
    <t>I am competent in this through work on my programme</t>
  </si>
  <si>
    <t>The programme ensures strong competency in this</t>
  </si>
  <si>
    <t>Strategies and actions in relation to my employability and career planning</t>
  </si>
  <si>
    <t>Your personal reflections on the different capability assessments (of myself, the job description and my programme)</t>
  </si>
  <si>
    <t>ASSESSMENT OF JOB DESCRIPTION FOR GRADUATE ECONOMIST</t>
  </si>
  <si>
    <t>SELF-ASSESSMENT BASED ON LONGER ASSESSMENT MATRIX</t>
  </si>
  <si>
    <t>3. Putting x in the column for the quality</t>
  </si>
  <si>
    <t>x</t>
  </si>
  <si>
    <t>I sometimes have ideas that go beyond the framework or guidelines in the assignment</t>
  </si>
  <si>
    <t>My ability is still based on researching original ideas and my own assumptions, not by using strategic tools</t>
  </si>
  <si>
    <t>Group presentation back in the English-level course showed that I accept judgment from the teacher about the lack of knowledge of an area and change the topic to one that is suitable for my strengths and skills</t>
  </si>
  <si>
    <t>I stay calm during group disagreements, and most of the time, I'm the one who clears the air, leading people to the right track</t>
  </si>
  <si>
    <t>I frequently evaluate ethical implications and emotional factors within case study analyses.</t>
  </si>
  <si>
    <t>I possess high resilience to exam pressure, although I remain sensitive to and uncertain about my future career path</t>
  </si>
  <si>
    <t>I always cite sources accurately and never misrepresent data, even when it leads to unfavorable results.</t>
  </si>
  <si>
    <t>I consistently adhere to professional standards and prioritize transparency in all financial reports/assignments</t>
  </si>
  <si>
    <t>I can deliver presentations with a high level of confidence and can write a well essays within my research and knowledge</t>
  </si>
  <si>
    <t>I understand the basic concepts of microeconomics and macroeconomics (supply, demand, GDP, CPI, etc.) from the Basic Economics course, but I do not know the advanced concepts.</t>
  </si>
  <si>
    <t>I always strictly follow the school's code, such as never being late, and being the one who sets the rules for group projects</t>
  </si>
  <si>
    <t>I always maintains a highly professional and formal tone in all written communications and academic submissions</t>
  </si>
  <si>
    <t>I can demonstrates rapid skill acquisition through self-taught programming and the independent integration of AI tools into daily workflows</t>
  </si>
  <si>
    <t>Group members say they trust me to complete my part on time and lead the group to focus and finish projects on time</t>
  </si>
  <si>
    <t>I can use Excel and other tools to illustrate simple datasets but not large and big datasets</t>
  </si>
  <si>
    <t xml:space="preserve">I am aware of my current knowledge boundaries as a first-year student and proactively seek guidance when facing complex tasks beyond my current training. </t>
  </si>
  <si>
    <t>I can explain the basic concepts of the Banking and Finance major to my friends and can taught them how to do the work correctly</t>
  </si>
  <si>
    <t>I can sense the frustration, anger, and confusion in my group and I know how to encourage, explain to them</t>
  </si>
  <si>
    <t>I actively help my peers during group projects or with some concepts that they misunderstanding</t>
  </si>
  <si>
    <t>I cannot create complex data visualisation but can create and understand the basic ones</t>
  </si>
  <si>
    <t>I understand the definition of trade-offs and can apply it when making my daily decisions but have not applied them in real policy or real world situations</t>
  </si>
  <si>
    <t>I am motivated to build a career that can benefits my family and my hobby</t>
  </si>
  <si>
    <t>I can effectively communicate strategic ideas during group discussions to align team objectives</t>
  </si>
  <si>
    <t>I listen carefully to what other people say and can provide them with advice or suggestions</t>
  </si>
  <si>
    <t>I can apply logical reasoning to most of my works or projects, using evidence to support my point of view</t>
  </si>
  <si>
    <t>I can work with other people and even work well with people whose characteristics I know</t>
  </si>
  <si>
    <t>I can communicate effectively with my friends or classmates, and I am able to speak or use both Vietnamese and English fluently.</t>
  </si>
  <si>
    <t>I maintain a balanced level of self-confidence, being certain of my foundational knowledge while remaining humble and open to feedback from professors and senior peers.</t>
  </si>
  <si>
    <t>I am can analyse basic financial data based on objective evidence rather than personal assumptions, while still relying on academic frameworks to ensure my conclusions remain impartial</t>
  </si>
  <si>
    <t xml:space="preserve">I am highly proficient in utilising advanced AI tools, Python, and web development frameworks to automate tasks and build applications but I'm still learning more </t>
  </si>
  <si>
    <t>I frequently incorporate ethical implications and diverse perspectives into comprehensive case study evaluations</t>
  </si>
  <si>
    <t>I like to study and do things on my own but I can still work in a team and communicate effectively</t>
  </si>
  <si>
    <t>I am learning to adjust my study methods and technical approaches when facing new academic challenges or unexpected situations in my personal project</t>
  </si>
  <si>
    <t>I can summarise the contents of every module that I learned into a checklist to study more effeciency</t>
  </si>
  <si>
    <t>I set my goals for every module that I enrol in, and I try my best to achieve them. Moreover, I am proactively looking for and learning AI tools to enhance my hobby</t>
  </si>
  <si>
    <t>I have started a project on my own but I'm lacking sufficient skills, so I will try to learn it through my teacher's guidelines</t>
  </si>
  <si>
    <t>I maintain a consistent and professional work ethic, ensuring that my academic assignments and personal projects are handled with steady reliability</t>
  </si>
  <si>
    <t>Essential. A hidden error in a financial model (e.g., DCF or LBO) can cost millions. Owning mistakes immediately prevents compounding financial disasters.</t>
  </si>
  <si>
    <t>The absolute core of due diligence. Analysts must sift through 10-Ks, earnings call transcripts, and market data to extract only what impacts valuation.</t>
  </si>
  <si>
    <t>Finance is heavily regulated. While creative problem-solving in structuring deals is nice, standard, compliant methodologies (GAAP/IFRS) are prioritised over "imagination."</t>
  </si>
  <si>
    <t>Required to handle intense market volatility, strict earnings-season deadlines, and harsh feedback from senior portfolio managers or executives.</t>
  </si>
  <si>
    <t>Markets panic; analysts must not. Objectivity is crucial to ensure recommendations are based on data, not market hysteria or personal bias.</t>
  </si>
  <si>
    <t>Non-negotiable. Any misrepresentation of financial health or data manipulation leads to severe regulatory and legal consequences (SEC/FCA compliance).</t>
  </si>
  <si>
    <t>The foundation of banking. Strict adherence to confidentiality (preventing insider trading) and ethical guidelines is a zero-tolerance area.</t>
  </si>
  <si>
    <t>High-stakes deals and M&amp;A activities involve long hours, ambiguous data, and constant pressure. Resilience is a baseline requirement.</t>
  </si>
  <si>
    <t>Important for maintaining professional internal relations and client-facing interactions (e.g., meeting with company management during equity research).</t>
  </si>
  <si>
    <t>Financial regulations, software tools, and market dynamics evolve rapidly. Adaptability to new information is highly prized.</t>
  </si>
  <si>
    <t>Necessary to build credibility with senior analysts, stakeholders, and clients who are relying on your financial advice.</t>
  </si>
  <si>
    <t xml:space="preserve">Must be able to translate complex quantitative models into clear, digestible investment pitches and executive summaries. </t>
  </si>
  <si>
    <t>Must be able to understand how inflation, interest rates (central bank policies), and microeconomic shifts directly impact asset valuations.</t>
  </si>
  <si>
    <t>Required when data is incomplete. Will often have to make sound assumptions in forecasting models regarding growth rates or terminal values.</t>
  </si>
  <si>
    <t>A significant portion of early career will be spent cleaning raw financial data from Bloomberg, Refinitiv, or internal databases before analysis.</t>
  </si>
  <si>
    <t>Not expected at the junior or entry-level. This becomes relevant only when transitioning to an Associate or VP role.</t>
  </si>
  <si>
    <t>Important for assessing how new banking regulations, tax laws, or fiscal policies will affect a company's bottom line or investment strategy.</t>
  </si>
  <si>
    <t>Helpful for understanding market sentiment or consumer behavior, but secondary to hard quantitative metrics for a pure analyst.</t>
  </si>
  <si>
    <t>Great for team culture, but corporate finance is fundamentally driven by ROI, profitability, and analytical rigor.</t>
  </si>
  <si>
    <t>The finance sector is notoriously competitive. Drive is necessary for career progression and having the stamina to tackle complex, high-profile deals.</t>
  </si>
  <si>
    <t>Essential for accurately capturing the requirements of Managing Directors, clients, or understanding the nuances in an earnings call.</t>
  </si>
  <si>
    <t>The essence of financial analysis: deducing corporate health from balance sheets and inducing market trends from macroeconomic indicators.</t>
  </si>
  <si>
    <t>Nice to have. More critical for Quants or Macro Economists, though highly beneficial for advanced predictive financial modeling.</t>
  </si>
  <si>
    <t>Clarity, conciseness, and the ability to tailor your financial jargon to non-financial stakeholders are vital.</t>
  </si>
  <si>
    <t>A baseline professional standard to maintain a healthy, compliant, and collaborative corporate environment.</t>
  </si>
  <si>
    <t>Required to dig deeper into financial discrepancies, flag potential risks, or advocate for accurate financial realities even if unpopular.</t>
  </si>
  <si>
    <t>Elite Excel skills are mandatory (without using a mouse). Python/SQL and AI tools are rapidly becoming industry standards for automating workflows.</t>
  </si>
  <si>
    <t>Proactively identifying cost-saving opportunities, automating a slow process, or pitching a unique investment idea adds immense value.</t>
  </si>
  <si>
    <t>Highly critical. An analyst must know when a financial model, tax implication, or transaction structure exceeds their current expertise. Proactively escalating complex issues to senior associates prevents catastrophic financial errors. Guesswork in banking is unacceptable.</t>
  </si>
  <si>
    <t>Essential. The core of this role involves digesting massive volumes of raw data, 10-K reports, and market research, then distilling them into a concise, one-page executive summary or a clear investment thesis for the Board of Directors.</t>
  </si>
  <si>
    <t>Nice to have, but secondary for an analyst. While proactive problem-solving and finding new efficiencies are valued, traditional banking prioritizes strict regulatory compliance, risk mitigation, and adherence to established financial methodologies over aggressive, entrepreneurial risk-taking.</t>
  </si>
  <si>
    <t>Highly demanded. Must be able to use tools like PowerBI, Tableau, or advanced Excel charting to present financial health dynamically to the BOD.</t>
  </si>
  <si>
    <t>Crucial when defending investment thesis or budget recommendations during investment committee meetings.</t>
  </si>
  <si>
    <t>Cross-functional collaboration is frequent. Will need to gather inputs from accounting, operations, and sales to build accurate budgets (FP&amp;A).</t>
  </si>
  <si>
    <t>Must confidently back up financial models and assumptions when challenged aggressively by senior executives.</t>
  </si>
  <si>
    <t>Must avoid confirmation bias. Valuation must reflect reality, not what the management team or directors hope the numbers say.</t>
  </si>
  <si>
    <t>The absolute core of FP&amp;A and Investment Banking. Building 3-statement models, DCFs, and running sensitivity/stress tests is a daily job.</t>
  </si>
  <si>
    <t>Markets pivot instantly. Must be able to rapidly update your financial models based on breaking news, earnings misses, or sudden macroeconomic shifts.</t>
  </si>
  <si>
    <t>Consistency and reliability are heavily prized. Stakeholders need to know the output will be consistently accurate and dependable.</t>
  </si>
  <si>
    <t>Fostered through the group assessment components and applied scenarios focused on industry practice in AFDM</t>
  </si>
  <si>
    <t>Developed via the "Relationships, correlation, scatter graph" and baseline statistics modules in PSBF</t>
  </si>
  <si>
    <t>Required to persist through challenging quantitative learning curves, such as learning Python syntax in PSBF</t>
  </si>
  <si>
    <t>Strongly covered in PSBF, which dedicates multiple weeks to Introduction to Python, Jupyter Notebooks, and specific packages</t>
  </si>
  <si>
    <t>I cannot make predictions or forecasts yet but I can calculate the suitable financial data, financial ratios</t>
  </si>
  <si>
    <t>I have studied the basic concepts, such as showing relationships via charts and baseline statistics but cannot do complex or complicate things</t>
  </si>
  <si>
    <t>Developed through "Working with feedback" and "Career management" topics in the PSBF module</t>
  </si>
  <si>
    <t>Practised extensively in EBF (macroeconomic measurement) and FIM (interpreting financial news and market data)</t>
  </si>
  <si>
    <t>Cultivated via "Design thinking and wicked problems" covered in weeks 5 and 6 of PSBF</t>
  </si>
  <si>
    <t>Developed indirectly by managing the rigorous independent study and complex theoretical models in EBF and FIM</t>
  </si>
  <si>
    <t>Developed through handling strict assessment deadlines and objective quantitative analyses in AFDM and PSBF</t>
  </si>
  <si>
    <t>Underpinned by the university's strict academic integrity rules and the study of financial regulation in FIM</t>
  </si>
  <si>
    <t>Explored theoretically through financial regulation, bubbles, and crash phenomena discussed in FIM</t>
  </si>
  <si>
    <t>Developed by articulating economic concepts (EBF) and presenting financial evaluations in professional contexts (AFDM)</t>
  </si>
  <si>
    <t>Fostered through tackling "wicked problems" (PSBF) and navigating challenging first-year transitions</t>
  </si>
  <si>
    <t>2 in the columns headed 1 to 4 for the question rank yourself by</t>
  </si>
  <si>
    <t>Core focus of the EBF module, covering consumer/firm theory, macroeconomic measurement, and policy</t>
  </si>
  <si>
    <t>3 Putting 1 in the column for the quality</t>
  </si>
  <si>
    <t>Central to AFDM, where students must evaluate investment opportunities and make informed financial recommendations</t>
  </si>
  <si>
    <t>4 Complete for all of the questions</t>
  </si>
  <si>
    <t>Developed through group collaboration, classroom participation, and interaction with module leaders across all subjects</t>
  </si>
  <si>
    <t>5 when completed (and not before) review the results on the Results Sheet</t>
  </si>
  <si>
    <t>Essential for grasping fast-paced technical skills like Python programming from scratch in PSBF</t>
  </si>
  <si>
    <t>Built through reliable participation in applied group scenarios and peer interactions, particularly in AFDM and FIM</t>
  </si>
  <si>
    <t>Strongly emphasized in PSBF, using packages like NumPy, Pandas, and SciPy to manage data</t>
  </si>
  <si>
    <t>Encouraged through engaging with formative feedback loops and continuous development in PSBF</t>
  </si>
  <si>
    <t>Not formally taught, but students are aware of it through peer-to-peer discussions and group study sessions</t>
  </si>
  <si>
    <t>Covered via macroeconomic policy in EBF and the study of financial systems/economic policy impacts in FIM</t>
  </si>
  <si>
    <t>Explored conceptually through "Design thinking" frameworks in PSBF</t>
  </si>
  <si>
    <t>Indirectly supported by the collaborative nature of the university environment, though not a specific module outcome</t>
  </si>
  <si>
    <t>Explicitly taught in PSBF using Matplotlib and techniques for "telling stories with numbers" (graphical analysis)</t>
  </si>
  <si>
    <t>Addressed directly in the "Career management" and "What jobs do economic analysts do?" lectures in PSBF</t>
  </si>
  <si>
    <t>Developed when justifying investment appraisals and funding decisions in the AFDM module assessments</t>
  </si>
  <si>
    <t>Practised actively in all lectures/tutorials, particularly when digesting complex instructions for Python coding in PSBF</t>
  </si>
  <si>
    <t>Applied when transitioning from baseline statistics to broader conclusions in PSBF and theory application in EBF</t>
  </si>
  <si>
    <t>The programme ensures this through "telling stories with numbers" (PSBF) and articulating real-world cases (EBF)</t>
  </si>
  <si>
    <t>Built incrementally by mastering technical tools (Python/Jupyter) and financial models (NPV/IRR)</t>
  </si>
  <si>
    <t>Required for interpreting financial information accurately and objectively in the AFDMand FIM modules</t>
  </si>
  <si>
    <t>Heavily integrated into AFDM through the time value of money, investment appraisal techniques (NPV, IRR), and ratio analysis</t>
  </si>
  <si>
    <t>Embedded in the university's code of conduct and essential for successful collaboration in diverse seminar groups</t>
  </si>
  <si>
    <t>Developed by analyzing dynamic financial markets, bubbles, and crashes in the FIM module</t>
  </si>
  <si>
    <t>Crucial for digesting macroeconomic measurements (Econ) and the comprehensive workings of global systems (FIM)</t>
  </si>
  <si>
    <t>Essential for completing independent reading (eg, Parkin's Economics textbook) and preparing for classes beforehand</t>
  </si>
  <si>
    <t>Stimulated through the "Design thinking" frameworks in PSBF, which encourage innovative approaches to problems</t>
  </si>
  <si>
    <t>Demonstrated through consistent attendance, methodical study habits, and timely coursework submissions across all 4 modules</t>
  </si>
  <si>
    <t>https://wwwcmc-canadaca/web/default/files/CMC_Competency_Framework_2018pdf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</si>
</sst>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1"/>
      <color theme="1"/>
      <name val="Calibri"/>
      <family val="2"/>
      <scheme val="minor"/>
    </font>
    <font>
      <sz val="11"/>
      <color rgb="FF9C5700"/>
      <name val="Calibri"/>
      <family val="2"/>
      <scheme val="minor"/>
    </font>
    <font>
      <sz val="11"/>
      <color rgb="FF3F3F76"/>
      <name val="Calibri"/>
      <family val="2"/>
      <scheme val="minor"/>
    </font>
    <font>
      <b/>
      <sz val="11"/>
      <color rgb="FFFA7D00"/>
      <name val="Calibri"/>
      <family val="2"/>
      <scheme val="minor"/>
    </font>
    <font>
      <b/>
      <sz val="11"/>
      <color theme="1"/>
      <name val="Calibri"/>
      <family val="2"/>
      <scheme val="minor"/>
    </font>
    <font>
      <b/>
      <sz val="11"/>
      <color theme="0" tint="-4.9989318521683403E-2"/>
      <name val="Calibri"/>
      <family val="2"/>
      <scheme val="minor"/>
    </font>
    <font>
      <sz val="11"/>
      <color rgb="FF9C0006"/>
      <name val="Calibri"/>
      <family val="2"/>
      <scheme val="minor"/>
    </font>
    <font>
      <u/>
      <sz val="11"/>
      <color theme="10"/>
      <name val="Calibri"/>
      <family val="2"/>
      <scheme val="minor"/>
    </font>
    <font>
      <b/>
      <sz val="12"/>
      <color theme="1"/>
      <name val="Aptos"/>
      <family val="2"/>
    </font>
  </fonts>
  <fills count="7">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FFC7CE"/>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7F7F7F"/>
      </left>
      <right style="medium">
        <color indexed="64"/>
      </right>
      <top style="thin">
        <color rgb="FF7F7F7F"/>
      </top>
      <bottom style="thin">
        <color rgb="FF7F7F7F"/>
      </bottom>
      <diagonal/>
    </border>
    <border>
      <left style="thin">
        <color indexed="64"/>
      </left>
      <right style="thin">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style="thin">
        <color rgb="FF7F7F7F"/>
      </right>
      <top style="thin">
        <color rgb="FF7F7F7F"/>
      </top>
      <bottom style="thin">
        <color rgb="FF7F7F7F"/>
      </bottom>
      <diagonal/>
    </border>
    <border>
      <left style="medium">
        <color indexed="64"/>
      </left>
      <right style="thin">
        <color rgb="FF7F7F7F"/>
      </right>
      <top style="thin">
        <color rgb="FF7F7F7F"/>
      </top>
      <bottom style="medium">
        <color indexed="64"/>
      </bottom>
      <diagonal/>
    </border>
    <border>
      <left style="medium">
        <color indexed="64"/>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style="medium">
        <color indexed="64"/>
      </right>
      <top/>
      <bottom style="thin">
        <color rgb="FF7F7F7F"/>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rgb="FFB2B2B2"/>
      </right>
      <top style="thin">
        <color rgb="FFB2B2B2"/>
      </top>
      <bottom style="thin">
        <color rgb="FFB2B2B2"/>
      </bottom>
      <diagonal/>
    </border>
    <border>
      <left/>
      <right/>
      <top style="thin">
        <color indexed="64"/>
      </top>
      <bottom/>
      <diagonal/>
    </border>
    <border>
      <left/>
      <right style="thin">
        <color rgb="FFB2B2B2"/>
      </right>
      <top style="thin">
        <color rgb="FFB2B2B2"/>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rgb="FF7F7F7F"/>
      </bottom>
      <diagonal/>
    </border>
    <border>
      <left style="medium">
        <color indexed="64"/>
      </left>
      <right/>
      <top style="thin">
        <color rgb="FF7F7F7F"/>
      </top>
      <bottom style="thin">
        <color rgb="FF7F7F7F"/>
      </bottom>
      <diagonal/>
    </border>
    <border>
      <left style="medium">
        <color indexed="64"/>
      </left>
      <right/>
      <top style="thin">
        <color rgb="FF7F7F7F"/>
      </top>
      <bottom style="medium">
        <color indexed="64"/>
      </bottom>
      <diagonal/>
    </border>
  </borders>
  <cellStyleXfs count="7">
    <xf numFmtId="0" fontId="0" fillId="0" borderId="0"/>
    <xf numFmtId="0" fontId="2" fillId="2" borderId="0" applyNumberFormat="0" applyBorder="0" applyAlignment="0" applyProtection="0"/>
    <xf numFmtId="0" fontId="3" fillId="3" borderId="1" applyNumberFormat="0" applyAlignment="0" applyProtection="0"/>
    <xf numFmtId="0" fontId="4" fillId="4" borderId="1" applyNumberFormat="0" applyAlignment="0" applyProtection="0"/>
    <xf numFmtId="0" fontId="1" fillId="5" borderId="2" applyNumberFormat="0" applyFont="0" applyAlignment="0" applyProtection="0"/>
    <xf numFmtId="0" fontId="7" fillId="6" borderId="0" applyNumberFormat="0" applyBorder="0" applyAlignment="0" applyProtection="0"/>
    <xf numFmtId="0" fontId="8" fillId="0" borderId="0" applyNumberFormat="0" applyFill="0" applyBorder="0" applyAlignment="0" applyProtection="0"/>
  </cellStyleXfs>
  <cellXfs count="96">
    <xf numFmtId="0" fontId="0" fillId="0" borderId="0" xfId="0"/>
    <xf numFmtId="0" fontId="0" fillId="0" borderId="0" xfId="0"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12" xfId="0" applyFont="1" applyBorder="1"/>
    <xf numFmtId="0" fontId="0" fillId="0" borderId="20" xfId="0" applyBorder="1"/>
    <xf numFmtId="0" fontId="0" fillId="0" borderId="21" xfId="0" applyBorder="1"/>
    <xf numFmtId="0" fontId="0" fillId="0" borderId="23" xfId="0" applyBorder="1"/>
    <xf numFmtId="0" fontId="0" fillId="0" borderId="24" xfId="0" applyBorder="1"/>
    <xf numFmtId="0" fontId="0" fillId="0" borderId="25" xfId="0" applyBorder="1"/>
    <xf numFmtId="0" fontId="0" fillId="0" borderId="26" xfId="0" applyBorder="1" applyAlignment="1">
      <alignment horizontal="center"/>
    </xf>
    <xf numFmtId="0" fontId="0" fillId="0" borderId="27" xfId="0" applyBorder="1"/>
    <xf numFmtId="0" fontId="0" fillId="0" borderId="26" xfId="0" applyBorder="1"/>
    <xf numFmtId="0" fontId="0" fillId="0" borderId="28" xfId="0" applyBorder="1"/>
    <xf numFmtId="0" fontId="0" fillId="0" borderId="29" xfId="0" applyBorder="1"/>
    <xf numFmtId="0" fontId="0" fillId="0" borderId="30" xfId="0" applyBorder="1"/>
    <xf numFmtId="0" fontId="5" fillId="0" borderId="31" xfId="0" applyFont="1" applyBorder="1" applyAlignment="1">
      <alignment horizontal="left" vertical="top"/>
    </xf>
    <xf numFmtId="0" fontId="6" fillId="4" borderId="17" xfId="3" applyFont="1" applyBorder="1"/>
    <xf numFmtId="164" fontId="4" fillId="4" borderId="17" xfId="3" applyNumberFormat="1" applyBorder="1" applyAlignment="1">
      <alignment horizontal="center"/>
    </xf>
    <xf numFmtId="0" fontId="5" fillId="0" borderId="32" xfId="0" applyFont="1" applyBorder="1"/>
    <xf numFmtId="0" fontId="5" fillId="0" borderId="6" xfId="0" applyFont="1" applyBorder="1"/>
    <xf numFmtId="0" fontId="4" fillId="4" borderId="16" xfId="3" applyBorder="1" applyAlignment="1">
      <alignment horizontal="left" vertical="center" indent="1"/>
    </xf>
    <xf numFmtId="164" fontId="4" fillId="4" borderId="18" xfId="3" applyNumberFormat="1" applyBorder="1" applyAlignment="1">
      <alignment horizontal="center"/>
    </xf>
    <xf numFmtId="0" fontId="4" fillId="4" borderId="14" xfId="3" applyBorder="1" applyAlignment="1">
      <alignment horizontal="left" vertical="center" indent="1"/>
    </xf>
    <xf numFmtId="0" fontId="6" fillId="4" borderId="1" xfId="3" applyFont="1"/>
    <xf numFmtId="0" fontId="0" fillId="0" borderId="33" xfId="0" applyBorder="1" applyAlignment="1">
      <alignment horizontal="center" vertical="top"/>
    </xf>
    <xf numFmtId="0" fontId="0" fillId="0" borderId="34" xfId="0" applyBorder="1" applyAlignment="1">
      <alignment horizontal="center" vertical="top"/>
    </xf>
    <xf numFmtId="0" fontId="0" fillId="0" borderId="35" xfId="0" applyBorder="1" applyAlignment="1">
      <alignment horizontal="center" vertical="top"/>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0" xfId="0" applyAlignment="1">
      <alignment vertical="top" wrapText="1"/>
    </xf>
    <xf numFmtId="0" fontId="0" fillId="0" borderId="0" xfId="0" applyAlignment="1">
      <alignment vertical="center"/>
    </xf>
    <xf numFmtId="0" fontId="0" fillId="5" borderId="36" xfId="4" applyFont="1" applyBorder="1" applyAlignment="1">
      <alignment horizontal="left" vertical="center" indent="1"/>
    </xf>
    <xf numFmtId="0" fontId="0" fillId="5" borderId="37" xfId="4" applyFont="1" applyBorder="1" applyAlignment="1">
      <alignment horizontal="center" vertical="center"/>
    </xf>
    <xf numFmtId="0" fontId="0" fillId="5" borderId="38" xfId="4" applyFont="1" applyBorder="1" applyAlignment="1">
      <alignment horizontal="left" vertical="center" indent="1"/>
    </xf>
    <xf numFmtId="0" fontId="0" fillId="0" borderId="39" xfId="0" applyBorder="1" applyAlignment="1">
      <alignment vertical="top" wrapText="1"/>
    </xf>
    <xf numFmtId="0" fontId="0" fillId="5" borderId="40" xfId="4" applyFont="1" applyBorder="1" applyAlignment="1">
      <alignment horizontal="center" vertical="center"/>
    </xf>
    <xf numFmtId="0" fontId="0" fillId="0" borderId="41" xfId="0" applyBorder="1" applyAlignment="1">
      <alignment vertical="top" wrapText="1"/>
    </xf>
    <xf numFmtId="0" fontId="0" fillId="0" borderId="41" xfId="0" applyBorder="1"/>
    <xf numFmtId="0" fontId="0" fillId="5" borderId="19" xfId="4" applyFont="1" applyBorder="1" applyAlignment="1">
      <alignment horizontal="center" vertical="center"/>
    </xf>
    <xf numFmtId="0" fontId="0" fillId="5" borderId="20" xfId="4" applyFont="1" applyBorder="1" applyAlignment="1">
      <alignment horizontal="left" vertical="center" indent="1"/>
    </xf>
    <xf numFmtId="0" fontId="0" fillId="0" borderId="22" xfId="0" applyBorder="1" applyAlignment="1">
      <alignment vertical="top" wrapText="1"/>
    </xf>
    <xf numFmtId="0" fontId="5" fillId="0" borderId="42" xfId="0" applyFont="1" applyBorder="1" applyAlignment="1">
      <alignment vertical="center"/>
    </xf>
    <xf numFmtId="0" fontId="5" fillId="0" borderId="43" xfId="0" applyFont="1" applyBorder="1"/>
    <xf numFmtId="0" fontId="5" fillId="0" borderId="44" xfId="0" applyFont="1" applyBorder="1" applyAlignment="1">
      <alignment vertical="top" wrapText="1"/>
    </xf>
    <xf numFmtId="0" fontId="5" fillId="0" borderId="45" xfId="0" applyFont="1" applyBorder="1" applyAlignment="1">
      <alignment horizontal="center"/>
    </xf>
    <xf numFmtId="0" fontId="5" fillId="0" borderId="46" xfId="0" applyFont="1" applyBorder="1" applyAlignment="1">
      <alignment horizontal="center"/>
    </xf>
    <xf numFmtId="0" fontId="4" fillId="4" borderId="14" xfId="3" applyBorder="1" applyAlignment="1">
      <alignment horizontal="left" vertical="center" wrapText="1" indent="1"/>
    </xf>
    <xf numFmtId="0" fontId="5" fillId="0" borderId="12" xfId="0" applyFont="1" applyBorder="1" applyAlignment="1">
      <alignment wrapText="1"/>
    </xf>
    <xf numFmtId="0" fontId="0" fillId="0" borderId="13" xfId="0" applyBorder="1" applyAlignment="1">
      <alignment wrapText="1"/>
    </xf>
    <xf numFmtId="0" fontId="0" fillId="5" borderId="47" xfId="4" applyFont="1" applyBorder="1" applyAlignment="1">
      <alignment horizontal="left" vertical="center" wrapText="1"/>
    </xf>
    <xf numFmtId="0" fontId="0" fillId="0" borderId="0" xfId="0" applyAlignment="1">
      <alignment wrapText="1"/>
    </xf>
    <xf numFmtId="0" fontId="0" fillId="5" borderId="0" xfId="4" applyFont="1" applyBorder="1" applyAlignment="1">
      <alignment horizontal="left" vertical="center"/>
    </xf>
    <xf numFmtId="0" fontId="0" fillId="5" borderId="2" xfId="4" applyFont="1" applyAlignment="1">
      <alignment horizontal="left" vertical="center"/>
    </xf>
    <xf numFmtId="0" fontId="0" fillId="5" borderId="29" xfId="4" applyFont="1" applyBorder="1" applyAlignment="1">
      <alignment horizontal="left" vertical="center"/>
    </xf>
    <xf numFmtId="0" fontId="2" fillId="2" borderId="4" xfId="1" applyBorder="1" applyAlignment="1">
      <alignment horizontal="left" vertical="center"/>
    </xf>
    <xf numFmtId="0" fontId="2" fillId="2" borderId="5" xfId="1" applyBorder="1" applyAlignment="1">
      <alignment horizontal="left" vertical="center"/>
    </xf>
    <xf numFmtId="0" fontId="3" fillId="3" borderId="16" xfId="2" applyBorder="1" applyAlignment="1">
      <alignment horizontal="left" vertical="center"/>
    </xf>
    <xf numFmtId="0" fontId="3" fillId="3" borderId="17" xfId="2" applyBorder="1" applyAlignment="1">
      <alignment horizontal="left" vertical="center"/>
    </xf>
    <xf numFmtId="0" fontId="0" fillId="0" borderId="0" xfId="0" applyAlignment="1">
      <alignment horizontal="left" vertical="center"/>
    </xf>
    <xf numFmtId="0" fontId="2" fillId="2" borderId="3" xfId="1" applyBorder="1" applyAlignment="1">
      <alignment horizontal="left" vertical="center"/>
    </xf>
    <xf numFmtId="0" fontId="3" fillId="3" borderId="14" xfId="2" applyBorder="1" applyAlignment="1">
      <alignment horizontal="left" vertical="center"/>
    </xf>
    <xf numFmtId="0" fontId="3" fillId="3" borderId="1" xfId="2" applyAlignment="1">
      <alignment horizontal="left" vertical="center"/>
    </xf>
    <xf numFmtId="0" fontId="2" fillId="2" borderId="9" xfId="1" applyBorder="1" applyAlignment="1">
      <alignment horizontal="left" vertical="center"/>
    </xf>
    <xf numFmtId="0" fontId="3" fillId="3" borderId="15" xfId="2" applyBorder="1" applyAlignment="1">
      <alignment horizontal="left" vertical="center"/>
    </xf>
    <xf numFmtId="0" fontId="3" fillId="3" borderId="10" xfId="2" applyBorder="1" applyAlignment="1">
      <alignment horizontal="left" vertical="center"/>
    </xf>
    <xf numFmtId="0" fontId="5" fillId="0" borderId="0" xfId="0" applyFont="1" applyAlignment="1">
      <alignment horizontal="center"/>
    </xf>
    <xf numFmtId="164" fontId="4" fillId="4" borderId="0" xfId="3" applyNumberFormat="1" applyBorder="1" applyAlignment="1">
      <alignment horizontal="center"/>
    </xf>
    <xf numFmtId="0" fontId="9" fillId="0" borderId="0" xfId="0" applyFont="1" applyAlignment="1">
      <alignment vertical="center"/>
    </xf>
    <xf numFmtId="0" fontId="5" fillId="0" borderId="13" xfId="0" applyFont="1" applyBorder="1" applyAlignment="1">
      <alignment horizontal="center" textRotation="90"/>
    </xf>
    <xf numFmtId="0" fontId="5" fillId="0" borderId="20" xfId="0" applyFont="1" applyBorder="1" applyAlignment="1">
      <alignment horizontal="center" textRotation="90"/>
    </xf>
    <xf numFmtId="0" fontId="8" fillId="5" borderId="0" xfId="6" applyFill="1" applyBorder="1" applyAlignment="1">
      <alignment horizontal="left" vertical="center"/>
    </xf>
    <xf numFmtId="0" fontId="0" fillId="5" borderId="49" xfId="4" applyFont="1" applyBorder="1" applyAlignment="1">
      <alignment horizontal="left" vertical="center" wrapText="1"/>
    </xf>
    <xf numFmtId="0" fontId="5" fillId="0" borderId="24" xfId="0" applyFont="1" applyBorder="1" applyAlignment="1">
      <alignment horizontal="center" vertical="center"/>
    </xf>
    <xf numFmtId="0" fontId="0" fillId="0" borderId="48" xfId="0" applyBorder="1" applyAlignment="1">
      <alignment horizontal="center" vertical="center"/>
    </xf>
    <xf numFmtId="0" fontId="0" fillId="0" borderId="0" xfId="0" applyAlignment="1">
      <alignment horizontal="center" vertical="center"/>
    </xf>
    <xf numFmtId="0" fontId="0" fillId="5" borderId="3" xfId="4" applyFont="1" applyBorder="1" applyAlignment="1">
      <alignment horizontal="center" vertical="center"/>
    </xf>
    <xf numFmtId="0" fontId="5" fillId="0" borderId="32" xfId="0" applyFont="1" applyBorder="1" applyAlignment="1">
      <alignment horizontal="center" textRotation="90" wrapText="1"/>
    </xf>
    <xf numFmtId="164" fontId="4" fillId="4" borderId="50" xfId="3" applyNumberFormat="1" applyBorder="1" applyAlignment="1">
      <alignment horizontal="center"/>
    </xf>
    <xf numFmtId="0" fontId="5" fillId="0" borderId="37" xfId="0" applyFont="1" applyBorder="1"/>
    <xf numFmtId="0" fontId="4" fillId="4" borderId="51" xfId="3" applyBorder="1" applyAlignment="1">
      <alignment horizontal="left" vertical="center" indent="1"/>
    </xf>
    <xf numFmtId="0" fontId="4" fillId="4" borderId="52" xfId="3" applyBorder="1" applyAlignment="1">
      <alignment horizontal="left" vertical="center" indent="1"/>
    </xf>
    <xf numFmtId="0" fontId="4" fillId="4" borderId="52" xfId="3" applyBorder="1" applyAlignment="1">
      <alignment horizontal="left" vertical="center" wrapText="1" indent="1"/>
    </xf>
    <xf numFmtId="0" fontId="4" fillId="4" borderId="53" xfId="3" applyBorder="1" applyAlignment="1">
      <alignment horizontal="left" vertical="center" wrapText="1" indent="1"/>
    </xf>
    <xf numFmtId="0" fontId="5" fillId="0" borderId="3" xfId="0" applyFont="1" applyBorder="1" applyAlignment="1">
      <alignment horizontal="center"/>
    </xf>
    <xf numFmtId="0" fontId="5" fillId="0" borderId="3" xfId="0" applyFont="1" applyBorder="1" applyAlignment="1">
      <alignment horizontal="center" textRotation="90"/>
    </xf>
    <xf numFmtId="0" fontId="2" fillId="2" borderId="5" xfId="1" applyBorder="1" applyAlignment="1">
      <alignment horizontal="center" vertical="center"/>
    </xf>
    <xf numFmtId="0" fontId="7" fillId="6" borderId="5" xfId="5" applyBorder="1" applyAlignment="1">
      <alignment horizontal="center" vertical="center"/>
    </xf>
    <xf numFmtId="0" fontId="0" fillId="0" borderId="3" xfId="0" applyBorder="1" applyAlignment="1">
      <alignment horizontal="center" vertical="center"/>
    </xf>
    <xf numFmtId="0" fontId="5" fillId="0" borderId="46" xfId="0" applyFont="1" applyBorder="1" applyAlignment="1">
      <alignment horizontal="left" vertical="center" wrapText="1"/>
    </xf>
    <xf numFmtId="0" fontId="5" fillId="0" borderId="31" xfId="0" applyFont="1" applyBorder="1" applyAlignment="1">
      <alignment wrapText="1"/>
    </xf>
    <xf numFmtId="0" fontId="0" fillId="5" borderId="0" xfId="4" applyFont="1" applyBorder="1" applyAlignment="1">
      <alignment horizontal="center" vertical="center"/>
    </xf>
    <xf numFmtId="0" fontId="3" fillId="3" borderId="18" xfId="2" applyBorder="1" applyAlignment="1">
      <alignment horizontal="left" vertical="center" wrapText="1"/>
    </xf>
    <xf numFmtId="0" fontId="3" fillId="3" borderId="8" xfId="2" applyBorder="1" applyAlignment="1">
      <alignment horizontal="left" vertical="center" wrapText="1"/>
    </xf>
    <xf numFmtId="0" fontId="3" fillId="3" borderId="11" xfId="2" applyBorder="1" applyAlignment="1">
      <alignment horizontal="left" vertical="center" wrapText="1"/>
    </xf>
  </cellXfs>
  <cellStyles count="7">
    <cellStyle name="Bad" xfId="5" builtinId="27"/>
    <cellStyle name="Calculation" xfId="3" builtinId="22"/>
    <cellStyle name="Hyperlink" xfId="6" builtinId="8"/>
    <cellStyle name="Input" xfId="2" builtinId="20"/>
    <cellStyle name="Neutral" xfId="1" builtinId="28"/>
    <cellStyle name="Normal" xfId="0" builtinId="0"/>
    <cellStyle name="Note" xfId="4" builtinId="1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NZ"/>
              <a:t>Professional Attributes Assessment and Behavours</a:t>
            </a:r>
          </a:p>
        </c:rich>
      </c:tx>
      <c:layout>
        <c:manualLayout>
          <c:xMode val="edge"/>
          <c:yMode val="edge"/>
          <c:x val="3.1004652040709374E-2"/>
          <c:y val="3.23767802034052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30966739576253"/>
          <c:y val="0.187771923730122"/>
          <c:w val="0.64726668603165172"/>
          <c:h val="0.73915585919407134"/>
        </c:manualLayout>
      </c:layout>
      <c:radarChart>
        <c:radarStyle val="marker"/>
        <c:varyColors val="0"/>
        <c:ser>
          <c:idx val="0"/>
          <c:order val="0"/>
          <c:tx>
            <c:v>Self-Assessment Scores</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Results!$B$4:$B$10</c:f>
              <c:strCache>
                <c:ptCount val="7"/>
                <c:pt idx="0">
                  <c:v>Economics Thinking Capability</c:v>
                </c:pt>
                <c:pt idx="1">
                  <c:v>Economic Skills</c:v>
                </c:pt>
                <c:pt idx="2">
                  <c:v>Research &amp; Delivery Skills</c:v>
                </c:pt>
                <c:pt idx="3">
                  <c:v>Stakeholder &amp; Customer Awareness</c:v>
                </c:pt>
                <c:pt idx="4">
                  <c:v>Collaboration &amp; Ways of Working</c:v>
                </c:pt>
                <c:pt idx="5">
                  <c:v>Feedback, Development &amp; Career Management</c:v>
                </c:pt>
                <c:pt idx="6">
                  <c:v>Professionalism &amp; Organisational Skills</c:v>
                </c:pt>
              </c:strCache>
            </c:strRef>
          </c:cat>
          <c:val>
            <c:numRef>
              <c:f>Results!$F$4:$F$10</c:f>
              <c:numCache>
                <c:formatCode>0.0</c:formatCode>
                <c:ptCount val="7"/>
                <c:pt idx="0">
                  <c:v>1.2571428571428571</c:v>
                </c:pt>
                <c:pt idx="1">
                  <c:v>0.96</c:v>
                </c:pt>
                <c:pt idx="2">
                  <c:v>1.6</c:v>
                </c:pt>
                <c:pt idx="3">
                  <c:v>1.76</c:v>
                </c:pt>
                <c:pt idx="4">
                  <c:v>1.6</c:v>
                </c:pt>
                <c:pt idx="5">
                  <c:v>1.44</c:v>
                </c:pt>
                <c:pt idx="6">
                  <c:v>1.6</c:v>
                </c:pt>
              </c:numCache>
            </c:numRef>
          </c:val>
          <c:extLst>
            <c:ext xmlns:c16="http://schemas.microsoft.com/office/drawing/2014/chart" uri="{C3380CC4-5D6E-409C-BE32-E72D297353CC}">
              <c16:uniqueId val="{00000000-3A22-41D7-9597-EA5D32799F78}"/>
            </c:ext>
          </c:extLst>
        </c:ser>
        <c:ser>
          <c:idx val="1"/>
          <c:order val="1"/>
          <c:tx>
            <c:v>Assessment of Job Description</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val>
            <c:numRef>
              <c:f>Results!$Q$4:$Q$10</c:f>
              <c:numCache>
                <c:formatCode>0.0</c:formatCode>
                <c:ptCount val="7"/>
                <c:pt idx="0">
                  <c:v>2.8571428571428572</c:v>
                </c:pt>
                <c:pt idx="1">
                  <c:v>2.88</c:v>
                </c:pt>
                <c:pt idx="2">
                  <c:v>2</c:v>
                </c:pt>
                <c:pt idx="3">
                  <c:v>1.92</c:v>
                </c:pt>
                <c:pt idx="4">
                  <c:v>2.4</c:v>
                </c:pt>
                <c:pt idx="5">
                  <c:v>2.56</c:v>
                </c:pt>
                <c:pt idx="6">
                  <c:v>2.9333333333333331</c:v>
                </c:pt>
              </c:numCache>
            </c:numRef>
          </c:val>
          <c:extLst>
            <c:ext xmlns:c16="http://schemas.microsoft.com/office/drawing/2014/chart" uri="{C3380CC4-5D6E-409C-BE32-E72D297353CC}">
              <c16:uniqueId val="{00000000-5F2B-4A6B-AD1C-2E12C293714B}"/>
            </c:ext>
          </c:extLst>
        </c:ser>
        <c:dLbls>
          <c:showLegendKey val="0"/>
          <c:showVal val="0"/>
          <c:showCatName val="0"/>
          <c:showSerName val="0"/>
          <c:showPercent val="0"/>
          <c:showBubbleSize val="0"/>
        </c:dLbls>
        <c:axId val="1306495215"/>
        <c:axId val="1306507695"/>
      </c:radarChart>
      <c:catAx>
        <c:axId val="1306495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07695"/>
        <c:crosses val="autoZero"/>
        <c:auto val="1"/>
        <c:lblAlgn val="ctr"/>
        <c:lblOffset val="100"/>
        <c:noMultiLvlLbl val="0"/>
      </c:catAx>
      <c:valAx>
        <c:axId val="1306507695"/>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49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9523</xdr:colOff>
      <xdr:row>12</xdr:row>
      <xdr:rowOff>15875</xdr:rowOff>
    </xdr:from>
    <xdr:to>
      <xdr:col>12</xdr:col>
      <xdr:colOff>19050</xdr:colOff>
      <xdr:row>47</xdr:row>
      <xdr:rowOff>180975</xdr:rowOff>
    </xdr:to>
    <xdr:graphicFrame macro="">
      <xdr:nvGraphicFramePr>
        <xdr:cNvPr id="2" name="Chart 1">
          <a:extLst>
            <a:ext uri="{FF2B5EF4-FFF2-40B4-BE49-F238E27FC236}">
              <a16:creationId xmlns:a16="http://schemas.microsoft.com/office/drawing/2014/main" id="{46C836C6-F24F-43D7-AB09-7EC3CCBEE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mc-canada.ca/web/default/files/CMC_Competency_Framework_2018.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ACE3-6904-4BDB-A1E7-EF960EFFD786}">
  <dimension ref="A1:D41"/>
  <sheetViews>
    <sheetView topLeftCell="A23" workbookViewId="0">
      <selection activeCell="L9" sqref="L9"/>
    </sheetView>
  </sheetViews>
  <sheetFormatPr defaultRowHeight="15" x14ac:dyDescent="0.25"/>
  <cols>
    <col min="2" max="2" width="8.42578125" style="32" hidden="1" customWidth="1"/>
    <col min="3" max="3" width="56.140625" customWidth="1"/>
    <col min="4" max="4" width="93.140625" style="31" customWidth="1"/>
  </cols>
  <sheetData>
    <row r="1" spans="1:4" ht="15.75" thickBot="1" x14ac:dyDescent="0.3">
      <c r="B1" s="43" t="s">
        <v>83</v>
      </c>
      <c r="C1" s="44" t="s">
        <v>84</v>
      </c>
      <c r="D1" s="45" t="s">
        <v>85</v>
      </c>
    </row>
    <row r="2" spans="1:4" x14ac:dyDescent="0.25">
      <c r="A2" s="77">
        <v>5</v>
      </c>
      <c r="B2" s="34">
        <v>22</v>
      </c>
      <c r="C2" s="35" t="s">
        <v>20</v>
      </c>
      <c r="D2" s="36" t="s">
        <v>70</v>
      </c>
    </row>
    <row r="3" spans="1:4" ht="30" x14ac:dyDescent="0.25">
      <c r="A3" s="77">
        <v>1</v>
      </c>
      <c r="B3" s="37">
        <v>33</v>
      </c>
      <c r="C3" s="33" t="s">
        <v>31</v>
      </c>
      <c r="D3" s="38" t="s">
        <v>78</v>
      </c>
    </row>
    <row r="4" spans="1:4" ht="30" x14ac:dyDescent="0.25">
      <c r="A4" s="77">
        <v>19</v>
      </c>
      <c r="B4" s="37">
        <v>10</v>
      </c>
      <c r="C4" s="33" t="s">
        <v>9</v>
      </c>
      <c r="D4" s="38" t="s">
        <v>59</v>
      </c>
    </row>
    <row r="5" spans="1:4" ht="30" x14ac:dyDescent="0.25">
      <c r="A5" s="77">
        <v>28</v>
      </c>
      <c r="B5" s="37">
        <v>13</v>
      </c>
      <c r="C5" s="33" t="s">
        <v>38</v>
      </c>
      <c r="D5" s="38" t="s">
        <v>61</v>
      </c>
    </row>
    <row r="6" spans="1:4" ht="30" x14ac:dyDescent="0.25">
      <c r="A6" s="77">
        <v>14</v>
      </c>
      <c r="B6" s="37">
        <v>11</v>
      </c>
      <c r="C6" s="33" t="s">
        <v>10</v>
      </c>
      <c r="D6" s="38" t="s">
        <v>60</v>
      </c>
    </row>
    <row r="7" spans="1:4" ht="30" x14ac:dyDescent="0.25">
      <c r="A7" s="77">
        <v>13</v>
      </c>
      <c r="B7" s="37">
        <v>2</v>
      </c>
      <c r="C7" s="33" t="s">
        <v>1</v>
      </c>
      <c r="D7" s="38" t="s">
        <v>51</v>
      </c>
    </row>
    <row r="8" spans="1:4" ht="30" x14ac:dyDescent="0.25">
      <c r="A8" s="77">
        <v>24</v>
      </c>
      <c r="B8" s="37">
        <v>14</v>
      </c>
      <c r="C8" s="33" t="s">
        <v>12</v>
      </c>
      <c r="D8" s="38" t="s">
        <v>62</v>
      </c>
    </row>
    <row r="9" spans="1:4" ht="45" x14ac:dyDescent="0.25">
      <c r="A9" s="77">
        <v>2</v>
      </c>
      <c r="B9" s="37">
        <v>3</v>
      </c>
      <c r="C9" s="33" t="s">
        <v>2</v>
      </c>
      <c r="D9" s="38" t="s">
        <v>52</v>
      </c>
    </row>
    <row r="10" spans="1:4" ht="30" x14ac:dyDescent="0.25">
      <c r="A10" s="77">
        <v>23</v>
      </c>
      <c r="B10" s="37">
        <v>17</v>
      </c>
      <c r="C10" s="33" t="s">
        <v>15</v>
      </c>
      <c r="D10" s="38" t="s">
        <v>65</v>
      </c>
    </row>
    <row r="11" spans="1:4" ht="30" x14ac:dyDescent="0.25">
      <c r="A11" s="77">
        <v>16</v>
      </c>
      <c r="B11" s="37">
        <v>32</v>
      </c>
      <c r="C11" s="33" t="s">
        <v>30</v>
      </c>
      <c r="D11" s="38" t="s">
        <v>77</v>
      </c>
    </row>
    <row r="12" spans="1:4" x14ac:dyDescent="0.25">
      <c r="A12" s="77">
        <v>17</v>
      </c>
      <c r="B12" s="37">
        <v>16</v>
      </c>
      <c r="C12" s="33" t="s">
        <v>14</v>
      </c>
      <c r="D12" s="39" t="s">
        <v>64</v>
      </c>
    </row>
    <row r="13" spans="1:4" ht="30" x14ac:dyDescent="0.25">
      <c r="A13" s="77">
        <v>36</v>
      </c>
      <c r="B13" s="37">
        <v>6</v>
      </c>
      <c r="C13" s="33" t="s">
        <v>5</v>
      </c>
      <c r="D13" s="38" t="s">
        <v>55</v>
      </c>
    </row>
    <row r="14" spans="1:4" ht="30" x14ac:dyDescent="0.25">
      <c r="A14" s="77">
        <v>26</v>
      </c>
      <c r="B14" s="37">
        <v>8</v>
      </c>
      <c r="C14" s="33" t="s">
        <v>7</v>
      </c>
      <c r="D14" s="38" t="s">
        <v>57</v>
      </c>
    </row>
    <row r="15" spans="1:4" ht="30" x14ac:dyDescent="0.25">
      <c r="A15" s="77">
        <v>9</v>
      </c>
      <c r="B15" s="37">
        <v>21</v>
      </c>
      <c r="C15" s="33" t="s">
        <v>19</v>
      </c>
      <c r="D15" s="38" t="s">
        <v>69</v>
      </c>
    </row>
    <row r="16" spans="1:4" ht="30" x14ac:dyDescent="0.25">
      <c r="A16" s="77">
        <v>33</v>
      </c>
      <c r="B16" s="37">
        <v>28</v>
      </c>
      <c r="C16" s="33" t="s">
        <v>26</v>
      </c>
      <c r="D16" s="38" t="s">
        <v>74</v>
      </c>
    </row>
    <row r="17" spans="1:4" ht="30" x14ac:dyDescent="0.25">
      <c r="A17" s="77">
        <v>12</v>
      </c>
      <c r="B17" s="37">
        <v>12</v>
      </c>
      <c r="C17" s="33" t="s">
        <v>11</v>
      </c>
      <c r="D17" s="38" t="s">
        <v>79</v>
      </c>
    </row>
    <row r="18" spans="1:4" ht="45" x14ac:dyDescent="0.25">
      <c r="A18" s="77">
        <v>3</v>
      </c>
      <c r="B18" s="37">
        <v>7</v>
      </c>
      <c r="C18" s="33" t="s">
        <v>6</v>
      </c>
      <c r="D18" s="38" t="s">
        <v>56</v>
      </c>
    </row>
    <row r="19" spans="1:4" ht="30" x14ac:dyDescent="0.25">
      <c r="A19" s="77">
        <v>38</v>
      </c>
      <c r="B19" s="37">
        <v>27</v>
      </c>
      <c r="C19" s="33" t="s">
        <v>25</v>
      </c>
      <c r="D19" s="38" t="s">
        <v>81</v>
      </c>
    </row>
    <row r="20" spans="1:4" ht="30" x14ac:dyDescent="0.25">
      <c r="A20" s="77">
        <v>7</v>
      </c>
      <c r="B20" s="37">
        <v>29</v>
      </c>
      <c r="C20" s="33" t="s">
        <v>27</v>
      </c>
      <c r="D20" s="38" t="s">
        <v>75</v>
      </c>
    </row>
    <row r="21" spans="1:4" x14ac:dyDescent="0.25">
      <c r="A21" s="77">
        <v>6</v>
      </c>
      <c r="B21" s="37">
        <v>31</v>
      </c>
      <c r="C21" s="33" t="s">
        <v>29</v>
      </c>
      <c r="D21" s="38" t="s">
        <v>76</v>
      </c>
    </row>
    <row r="22" spans="1:4" x14ac:dyDescent="0.25">
      <c r="A22" s="77">
        <v>8</v>
      </c>
      <c r="B22" s="37">
        <v>15</v>
      </c>
      <c r="C22" s="33" t="s">
        <v>13</v>
      </c>
      <c r="D22" s="39" t="s">
        <v>63</v>
      </c>
    </row>
    <row r="23" spans="1:4" ht="45" x14ac:dyDescent="0.25">
      <c r="A23" s="77">
        <v>35</v>
      </c>
      <c r="B23" s="37">
        <v>23</v>
      </c>
      <c r="C23" s="33" t="s">
        <v>21</v>
      </c>
      <c r="D23" s="38" t="s">
        <v>80</v>
      </c>
    </row>
    <row r="24" spans="1:4" x14ac:dyDescent="0.25">
      <c r="A24" s="77">
        <v>20</v>
      </c>
      <c r="B24" s="37">
        <v>30</v>
      </c>
      <c r="C24" s="33" t="s">
        <v>28</v>
      </c>
      <c r="D24" s="39" t="s">
        <v>82</v>
      </c>
    </row>
    <row r="25" spans="1:4" ht="30" x14ac:dyDescent="0.25">
      <c r="A25" s="77">
        <v>11</v>
      </c>
      <c r="B25" s="37">
        <v>4</v>
      </c>
      <c r="C25" s="33" t="s">
        <v>3</v>
      </c>
      <c r="D25" s="38" t="s">
        <v>53</v>
      </c>
    </row>
    <row r="26" spans="1:4" x14ac:dyDescent="0.25">
      <c r="A26" s="77">
        <v>22</v>
      </c>
      <c r="B26" s="37">
        <v>26</v>
      </c>
      <c r="C26" s="33" t="s">
        <v>24</v>
      </c>
      <c r="D26" s="38" t="s">
        <v>73</v>
      </c>
    </row>
    <row r="27" spans="1:4" ht="30" x14ac:dyDescent="0.25">
      <c r="A27" s="77">
        <v>30</v>
      </c>
      <c r="B27" s="37">
        <v>20</v>
      </c>
      <c r="C27" s="33" t="s">
        <v>18</v>
      </c>
      <c r="D27" s="38" t="s">
        <v>68</v>
      </c>
    </row>
    <row r="28" spans="1:4" ht="30" x14ac:dyDescent="0.25">
      <c r="A28" s="77">
        <v>25</v>
      </c>
      <c r="B28" s="37">
        <v>5</v>
      </c>
      <c r="C28" s="33" t="s">
        <v>4</v>
      </c>
      <c r="D28" s="38" t="s">
        <v>54</v>
      </c>
    </row>
    <row r="29" spans="1:4" ht="30" x14ac:dyDescent="0.25">
      <c r="A29" s="77"/>
      <c r="B29" s="37">
        <v>1</v>
      </c>
      <c r="C29" s="33" t="s">
        <v>0</v>
      </c>
      <c r="D29" s="38" t="s">
        <v>50</v>
      </c>
    </row>
    <row r="30" spans="1:4" ht="45" x14ac:dyDescent="0.25">
      <c r="A30" s="77">
        <v>4</v>
      </c>
      <c r="B30" s="37">
        <v>18</v>
      </c>
      <c r="C30" s="33" t="s">
        <v>16</v>
      </c>
      <c r="D30" s="38" t="s">
        <v>66</v>
      </c>
    </row>
    <row r="31" spans="1:4" ht="30" x14ac:dyDescent="0.25">
      <c r="A31" s="77">
        <v>37</v>
      </c>
      <c r="B31" s="37">
        <v>24</v>
      </c>
      <c r="C31" s="33" t="s">
        <v>22</v>
      </c>
      <c r="D31" s="38" t="s">
        <v>71</v>
      </c>
    </row>
    <row r="32" spans="1:4" ht="30" x14ac:dyDescent="0.25">
      <c r="A32" s="77">
        <v>32</v>
      </c>
      <c r="B32" s="37">
        <v>9</v>
      </c>
      <c r="C32" s="33" t="s">
        <v>8</v>
      </c>
      <c r="D32" s="38" t="s">
        <v>58</v>
      </c>
    </row>
    <row r="33" spans="1:4" ht="60" x14ac:dyDescent="0.25">
      <c r="A33" s="77">
        <v>29</v>
      </c>
      <c r="B33" s="37">
        <v>25</v>
      </c>
      <c r="C33" s="33" t="s">
        <v>23</v>
      </c>
      <c r="D33" s="38" t="s">
        <v>72</v>
      </c>
    </row>
    <row r="34" spans="1:4" ht="15.75" thickBot="1" x14ac:dyDescent="0.3">
      <c r="A34" s="77">
        <v>39</v>
      </c>
      <c r="B34" s="40">
        <v>19</v>
      </c>
      <c r="C34" s="41" t="s">
        <v>17</v>
      </c>
      <c r="D34" s="42" t="s">
        <v>67</v>
      </c>
    </row>
    <row r="35" spans="1:4" x14ac:dyDescent="0.25">
      <c r="A35" s="77">
        <v>10</v>
      </c>
      <c r="B35" s="92"/>
      <c r="C35" s="51" t="s">
        <v>101</v>
      </c>
    </row>
    <row r="36" spans="1:4" x14ac:dyDescent="0.25">
      <c r="A36" s="77">
        <v>15</v>
      </c>
      <c r="B36" s="92"/>
      <c r="C36" s="51" t="s">
        <v>105</v>
      </c>
    </row>
    <row r="37" spans="1:4" x14ac:dyDescent="0.25">
      <c r="A37" s="77">
        <v>18</v>
      </c>
      <c r="B37" s="92"/>
      <c r="C37" s="51" t="s">
        <v>102</v>
      </c>
    </row>
    <row r="38" spans="1:4" x14ac:dyDescent="0.25">
      <c r="A38" s="77">
        <v>21</v>
      </c>
      <c r="B38" s="92"/>
      <c r="C38" s="51" t="s">
        <v>107</v>
      </c>
    </row>
    <row r="39" spans="1:4" x14ac:dyDescent="0.25">
      <c r="A39" s="77">
        <v>27</v>
      </c>
      <c r="B39" s="92"/>
      <c r="C39" s="51" t="s">
        <v>103</v>
      </c>
    </row>
    <row r="40" spans="1:4" x14ac:dyDescent="0.25">
      <c r="A40" s="77">
        <v>31</v>
      </c>
      <c r="B40" s="92"/>
      <c r="C40" s="51" t="s">
        <v>104</v>
      </c>
    </row>
    <row r="41" spans="1:4" ht="15.75" thickBot="1" x14ac:dyDescent="0.3">
      <c r="A41" s="77">
        <v>34</v>
      </c>
      <c r="B41" s="92"/>
      <c r="C41" s="73" t="s">
        <v>106</v>
      </c>
    </row>
  </sheetData>
  <sortState xmlns:xlrd2="http://schemas.microsoft.com/office/spreadsheetml/2017/richdata2" ref="B2:D34">
    <sortCondition ref="C2:C3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8833D-0406-49CD-BF91-2D0DEA3268FF}">
  <dimension ref="B1:J10"/>
  <sheetViews>
    <sheetView workbookViewId="0">
      <selection activeCell="B3" sqref="B3"/>
    </sheetView>
  </sheetViews>
  <sheetFormatPr defaultRowHeight="15" x14ac:dyDescent="0.25"/>
  <cols>
    <col min="2" max="2" width="36.5703125" customWidth="1"/>
    <col min="9" max="10" width="4.5703125" hidden="1" customWidth="1"/>
  </cols>
  <sheetData>
    <row r="1" spans="2:10" ht="15.75" thickBot="1" x14ac:dyDescent="0.3"/>
    <row r="2" spans="2:10" ht="15.75" thickBot="1" x14ac:dyDescent="0.3">
      <c r="B2" s="7"/>
      <c r="C2" s="85">
        <v>0</v>
      </c>
      <c r="D2" s="85">
        <v>1</v>
      </c>
      <c r="E2" s="85">
        <v>2</v>
      </c>
      <c r="F2" s="85">
        <v>3</v>
      </c>
      <c r="G2" s="85">
        <v>4</v>
      </c>
    </row>
    <row r="3" spans="2:10" ht="120" x14ac:dyDescent="0.25">
      <c r="B3" s="80" t="s">
        <v>49</v>
      </c>
      <c r="C3" s="86" t="s">
        <v>118</v>
      </c>
      <c r="D3" s="86" t="s">
        <v>115</v>
      </c>
      <c r="E3" s="86" t="s">
        <v>114</v>
      </c>
      <c r="F3" s="86" t="s">
        <v>116</v>
      </c>
      <c r="G3" s="86" t="s">
        <v>117</v>
      </c>
    </row>
    <row r="4" spans="2:10" x14ac:dyDescent="0.25">
      <c r="B4" s="81" t="s">
        <v>113</v>
      </c>
      <c r="C4" s="89"/>
      <c r="D4" s="89" t="s">
        <v>136</v>
      </c>
      <c r="E4" s="89"/>
      <c r="F4" s="89"/>
      <c r="G4" s="89"/>
      <c r="I4" s="87">
        <f>IF(ISNA(MATCH("x",$C4:$G4,0)),0,MATCH("x",$C4:$G4,0))</f>
        <v>2</v>
      </c>
      <c r="J4" s="88">
        <f>IF(I4=0,0,I4-1)</f>
        <v>1</v>
      </c>
    </row>
    <row r="5" spans="2:10" x14ac:dyDescent="0.25">
      <c r="B5" s="81" t="s">
        <v>110</v>
      </c>
      <c r="C5" s="89"/>
      <c r="D5" s="89" t="s">
        <v>136</v>
      </c>
      <c r="E5" s="89"/>
      <c r="F5" s="89"/>
      <c r="G5" s="89"/>
      <c r="I5" s="87">
        <f t="shared" ref="I5:I10" si="0">IF(ISNA(MATCH("x",$C5:$G5,0)),0,MATCH("x",$C5:$G5,0))</f>
        <v>2</v>
      </c>
      <c r="J5" s="88">
        <f t="shared" ref="J5:J10" si="1">IF(I5=0,0,I5-1)</f>
        <v>1</v>
      </c>
    </row>
    <row r="6" spans="2:10" x14ac:dyDescent="0.25">
      <c r="B6" s="82" t="s">
        <v>98</v>
      </c>
      <c r="C6" s="89"/>
      <c r="D6" s="89"/>
      <c r="E6" s="89" t="s">
        <v>136</v>
      </c>
      <c r="F6" s="89"/>
      <c r="G6" s="89"/>
      <c r="I6" s="87">
        <f t="shared" si="0"/>
        <v>3</v>
      </c>
      <c r="J6" s="88">
        <f t="shared" si="1"/>
        <v>2</v>
      </c>
    </row>
    <row r="7" spans="2:10" x14ac:dyDescent="0.25">
      <c r="B7" s="82" t="s">
        <v>97</v>
      </c>
      <c r="C7" s="89"/>
      <c r="D7" s="89" t="s">
        <v>136</v>
      </c>
      <c r="E7" s="89"/>
      <c r="F7" s="89"/>
      <c r="G7" s="89"/>
      <c r="I7" s="87">
        <f t="shared" si="0"/>
        <v>2</v>
      </c>
      <c r="J7" s="88">
        <f t="shared" si="1"/>
        <v>1</v>
      </c>
    </row>
    <row r="8" spans="2:10" x14ac:dyDescent="0.25">
      <c r="B8" s="82" t="s">
        <v>96</v>
      </c>
      <c r="C8" s="89"/>
      <c r="D8" s="89"/>
      <c r="E8" s="89" t="s">
        <v>136</v>
      </c>
      <c r="F8" s="89"/>
      <c r="G8" s="89"/>
      <c r="I8" s="87">
        <f t="shared" si="0"/>
        <v>3</v>
      </c>
      <c r="J8" s="88">
        <f t="shared" si="1"/>
        <v>2</v>
      </c>
    </row>
    <row r="9" spans="2:10" ht="30" x14ac:dyDescent="0.25">
      <c r="B9" s="83" t="s">
        <v>95</v>
      </c>
      <c r="C9" s="89"/>
      <c r="D9" s="89" t="s">
        <v>136</v>
      </c>
      <c r="E9" s="89"/>
      <c r="F9" s="89"/>
      <c r="G9" s="89"/>
      <c r="I9" s="87">
        <f t="shared" si="0"/>
        <v>2</v>
      </c>
      <c r="J9" s="88">
        <f t="shared" si="1"/>
        <v>1</v>
      </c>
    </row>
    <row r="10" spans="2:10" ht="30.75" thickBot="1" x14ac:dyDescent="0.3">
      <c r="B10" s="84" t="s">
        <v>94</v>
      </c>
      <c r="C10" s="89"/>
      <c r="D10" s="89"/>
      <c r="E10" s="89" t="s">
        <v>136</v>
      </c>
      <c r="F10" s="89"/>
      <c r="G10" s="89"/>
      <c r="I10" s="87">
        <f t="shared" si="0"/>
        <v>3</v>
      </c>
      <c r="J10" s="88">
        <f t="shared" si="1"/>
        <v>2</v>
      </c>
    </row>
  </sheetData>
  <conditionalFormatting sqref="C4:G10">
    <cfRule type="containsText" dxfId="0" priority="1" operator="containsText" text="x">
      <formula>NOT(ISERROR(SEARCH("x",C4)))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09E94-FEB3-4F44-A2D9-32E4AFC343CA}">
  <dimension ref="A1:O44"/>
  <sheetViews>
    <sheetView zoomScaleNormal="100" workbookViewId="0">
      <selection activeCell="O5" sqref="O5"/>
    </sheetView>
  </sheetViews>
  <sheetFormatPr defaultRowHeight="15" x14ac:dyDescent="0.25"/>
  <cols>
    <col min="1" max="1" width="4.42578125" style="76" customWidth="1"/>
    <col min="2" max="2" width="45.5703125" style="52" customWidth="1"/>
    <col min="3" max="3" width="8.140625" hidden="1" customWidth="1"/>
    <col min="4" max="4" width="5.140625" hidden="1" customWidth="1"/>
    <col min="5" max="5" width="1" hidden="1" customWidth="1"/>
    <col min="6" max="6" width="4.42578125" hidden="1" customWidth="1"/>
    <col min="7" max="12" width="4.5703125" customWidth="1"/>
    <col min="13" max="13" width="103.5703125" customWidth="1"/>
    <col min="14" max="14" width="4.42578125" customWidth="1"/>
    <col min="15" max="15" width="58.85546875" customWidth="1"/>
  </cols>
  <sheetData>
    <row r="1" spans="1:15" x14ac:dyDescent="0.25">
      <c r="A1" s="74"/>
      <c r="B1" s="49" t="s">
        <v>43</v>
      </c>
      <c r="C1" s="4"/>
      <c r="D1" s="4" t="s">
        <v>32</v>
      </c>
      <c r="E1" s="4"/>
      <c r="F1" s="4"/>
      <c r="G1" s="2">
        <v>0</v>
      </c>
      <c r="H1" s="2">
        <v>0</v>
      </c>
      <c r="I1" s="2">
        <v>1</v>
      </c>
      <c r="J1" s="2">
        <v>2</v>
      </c>
      <c r="K1" s="2">
        <v>3</v>
      </c>
      <c r="L1" s="2">
        <v>4</v>
      </c>
      <c r="M1" s="46" t="s">
        <v>86</v>
      </c>
    </row>
    <row r="2" spans="1:15" ht="119.25" thickBot="1" x14ac:dyDescent="0.3">
      <c r="A2" s="75"/>
      <c r="B2" s="50"/>
      <c r="C2" s="5"/>
      <c r="D2" s="5"/>
      <c r="E2" s="5"/>
      <c r="F2" s="6"/>
      <c r="G2" s="70"/>
      <c r="H2" s="70" t="s">
        <v>118</v>
      </c>
      <c r="I2" s="70" t="s">
        <v>115</v>
      </c>
      <c r="J2" s="71" t="s">
        <v>114</v>
      </c>
      <c r="K2" s="71" t="s">
        <v>116</v>
      </c>
      <c r="L2" s="71" t="s">
        <v>117</v>
      </c>
      <c r="M2" s="47" t="s">
        <v>87</v>
      </c>
      <c r="O2" t="s">
        <v>41</v>
      </c>
    </row>
    <row r="3" spans="1:15" s="60" customFormat="1" ht="30" x14ac:dyDescent="0.25">
      <c r="A3" s="77">
        <v>1</v>
      </c>
      <c r="B3" s="51" t="s">
        <v>31</v>
      </c>
      <c r="C3" s="53" t="s">
        <v>91</v>
      </c>
      <c r="D3" s="56" t="s">
        <v>40</v>
      </c>
      <c r="E3" s="56"/>
      <c r="F3" s="57">
        <f t="shared" ref="F3:F41" si="0">IF(ISNA(MATCH("x",$H3:$L3,0)),0,MATCH("x",$H3:$L3,0))</f>
        <v>3</v>
      </c>
      <c r="G3" s="58">
        <f>IF(F3=0,0,F3-1)</f>
        <v>2</v>
      </c>
      <c r="H3" s="58"/>
      <c r="I3" s="59"/>
      <c r="J3" s="59" t="s">
        <v>136</v>
      </c>
      <c r="K3" s="59"/>
      <c r="L3" s="59"/>
      <c r="M3" s="93" t="s">
        <v>139</v>
      </c>
    </row>
    <row r="4" spans="1:15" s="60" customFormat="1" ht="30" x14ac:dyDescent="0.25">
      <c r="A4" s="77">
        <v>2</v>
      </c>
      <c r="B4" s="51" t="s">
        <v>2</v>
      </c>
      <c r="C4" s="53" t="s">
        <v>88</v>
      </c>
      <c r="D4" s="56" t="s">
        <v>33</v>
      </c>
      <c r="E4" s="56"/>
      <c r="F4" s="57">
        <f t="shared" si="0"/>
        <v>2</v>
      </c>
      <c r="G4" s="58">
        <f t="shared" ref="G4:G41" si="1">IF(F4=0,0,F4-1)</f>
        <v>1</v>
      </c>
      <c r="H4" s="58"/>
      <c r="I4" s="59" t="s">
        <v>136</v>
      </c>
      <c r="J4" s="59"/>
      <c r="K4" s="59"/>
      <c r="L4" s="59"/>
      <c r="M4" s="93" t="s">
        <v>138</v>
      </c>
    </row>
    <row r="5" spans="1:15" s="60" customFormat="1" x14ac:dyDescent="0.25">
      <c r="A5" s="77">
        <v>3</v>
      </c>
      <c r="B5" s="51" t="s">
        <v>6</v>
      </c>
      <c r="C5" s="53" t="s">
        <v>88</v>
      </c>
      <c r="D5" s="56" t="s">
        <v>34</v>
      </c>
      <c r="E5" s="56"/>
      <c r="F5" s="57">
        <f t="shared" si="0"/>
        <v>3</v>
      </c>
      <c r="G5" s="58">
        <f t="shared" si="1"/>
        <v>2</v>
      </c>
      <c r="H5" s="58"/>
      <c r="I5" s="59"/>
      <c r="J5" s="59" t="s">
        <v>136</v>
      </c>
      <c r="K5" s="59"/>
      <c r="L5" s="59"/>
      <c r="M5" s="93" t="s">
        <v>137</v>
      </c>
    </row>
    <row r="6" spans="1:15" s="60" customFormat="1" ht="30" x14ac:dyDescent="0.25">
      <c r="A6" s="77">
        <v>4</v>
      </c>
      <c r="B6" s="51" t="s">
        <v>16</v>
      </c>
      <c r="C6" s="53" t="s">
        <v>90</v>
      </c>
      <c r="D6" s="56" t="s">
        <v>37</v>
      </c>
      <c r="E6" s="56"/>
      <c r="F6" s="57">
        <f t="shared" si="0"/>
        <v>3</v>
      </c>
      <c r="G6" s="58">
        <f t="shared" si="1"/>
        <v>2</v>
      </c>
      <c r="H6" s="58"/>
      <c r="I6" s="59"/>
      <c r="J6" s="59" t="s">
        <v>136</v>
      </c>
      <c r="K6" s="59"/>
      <c r="L6" s="59"/>
      <c r="M6" s="93" t="s">
        <v>140</v>
      </c>
    </row>
    <row r="7" spans="1:15" s="60" customFormat="1" ht="30" x14ac:dyDescent="0.25">
      <c r="A7" s="77">
        <v>5</v>
      </c>
      <c r="B7" s="51" t="s">
        <v>20</v>
      </c>
      <c r="C7" s="53" t="s">
        <v>90</v>
      </c>
      <c r="D7" s="56" t="s">
        <v>35</v>
      </c>
      <c r="E7" s="56"/>
      <c r="F7" s="57">
        <f t="shared" si="0"/>
        <v>3</v>
      </c>
      <c r="G7" s="58">
        <f t="shared" si="1"/>
        <v>2</v>
      </c>
      <c r="H7" s="58"/>
      <c r="I7" s="59"/>
      <c r="J7" s="59" t="s">
        <v>136</v>
      </c>
      <c r="K7" s="59"/>
      <c r="L7" s="59"/>
      <c r="M7" s="93" t="s">
        <v>141</v>
      </c>
    </row>
    <row r="8" spans="1:15" s="60" customFormat="1" x14ac:dyDescent="0.25">
      <c r="A8" s="77">
        <v>6</v>
      </c>
      <c r="B8" s="51" t="s">
        <v>29</v>
      </c>
      <c r="C8" s="53" t="s">
        <v>90</v>
      </c>
      <c r="D8" s="56" t="s">
        <v>39</v>
      </c>
      <c r="E8" s="56"/>
      <c r="F8" s="57">
        <f t="shared" si="0"/>
        <v>4</v>
      </c>
      <c r="G8" s="58">
        <f t="shared" si="1"/>
        <v>3</v>
      </c>
      <c r="H8" s="58"/>
      <c r="I8" s="59"/>
      <c r="J8" s="59"/>
      <c r="K8" s="59" t="s">
        <v>136</v>
      </c>
      <c r="L8" s="59"/>
      <c r="M8" s="93" t="s">
        <v>143</v>
      </c>
    </row>
    <row r="9" spans="1:15" s="60" customFormat="1" x14ac:dyDescent="0.25">
      <c r="A9" s="77">
        <v>7</v>
      </c>
      <c r="B9" s="51" t="s">
        <v>27</v>
      </c>
      <c r="C9" s="53" t="s">
        <v>90</v>
      </c>
      <c r="D9" s="56" t="s">
        <v>39</v>
      </c>
      <c r="E9" s="56"/>
      <c r="F9" s="57">
        <f t="shared" si="0"/>
        <v>3</v>
      </c>
      <c r="G9" s="58">
        <f t="shared" si="1"/>
        <v>2</v>
      </c>
      <c r="H9" s="58"/>
      <c r="I9" s="59"/>
      <c r="J9" s="59" t="s">
        <v>136</v>
      </c>
      <c r="K9" s="59"/>
      <c r="L9" s="59"/>
      <c r="M9" s="94" t="s">
        <v>144</v>
      </c>
    </row>
    <row r="10" spans="1:15" s="60" customFormat="1" ht="30" x14ac:dyDescent="0.25">
      <c r="A10" s="77">
        <v>8</v>
      </c>
      <c r="B10" s="51" t="s">
        <v>13</v>
      </c>
      <c r="C10" s="53" t="s">
        <v>90</v>
      </c>
      <c r="D10" s="56" t="s">
        <v>36</v>
      </c>
      <c r="E10" s="56"/>
      <c r="F10" s="57">
        <f t="shared" si="0"/>
        <v>3</v>
      </c>
      <c r="G10" s="58">
        <f t="shared" si="1"/>
        <v>2</v>
      </c>
      <c r="H10" s="58"/>
      <c r="I10" s="59"/>
      <c r="J10" s="59" t="s">
        <v>136</v>
      </c>
      <c r="K10" s="59"/>
      <c r="L10" s="59"/>
      <c r="M10" s="94" t="s">
        <v>145</v>
      </c>
    </row>
    <row r="11" spans="1:15" s="60" customFormat="1" ht="30" x14ac:dyDescent="0.25">
      <c r="A11" s="77">
        <v>9</v>
      </c>
      <c r="B11" s="51" t="s">
        <v>19</v>
      </c>
      <c r="C11" s="54" t="s">
        <v>90</v>
      </c>
      <c r="D11" s="56" t="s">
        <v>37</v>
      </c>
      <c r="E11" s="61"/>
      <c r="F11" s="57">
        <f t="shared" si="0"/>
        <v>3</v>
      </c>
      <c r="G11" s="58">
        <f t="shared" si="1"/>
        <v>2</v>
      </c>
      <c r="H11" s="62"/>
      <c r="I11" s="63"/>
      <c r="J11" s="63" t="s">
        <v>136</v>
      </c>
      <c r="K11" s="63"/>
      <c r="L11" s="63"/>
      <c r="M11" s="93" t="s">
        <v>142</v>
      </c>
      <c r="O11" s="60" t="s">
        <v>111</v>
      </c>
    </row>
    <row r="12" spans="1:15" s="60" customFormat="1" ht="30" x14ac:dyDescent="0.25">
      <c r="A12" s="77">
        <v>10</v>
      </c>
      <c r="B12" s="51" t="s">
        <v>101</v>
      </c>
      <c r="C12" s="54" t="s">
        <v>88</v>
      </c>
      <c r="D12" s="56" t="s">
        <v>109</v>
      </c>
      <c r="E12" s="61"/>
      <c r="F12" s="57">
        <f t="shared" si="0"/>
        <v>3</v>
      </c>
      <c r="G12" s="58">
        <f t="shared" si="1"/>
        <v>2</v>
      </c>
      <c r="H12" s="62"/>
      <c r="I12" s="63"/>
      <c r="J12" s="63" t="s">
        <v>136</v>
      </c>
      <c r="K12" s="63"/>
      <c r="L12" s="63"/>
      <c r="M12" s="94" t="s">
        <v>146</v>
      </c>
      <c r="O12" s="60" t="s">
        <v>135</v>
      </c>
    </row>
    <row r="13" spans="1:15" s="60" customFormat="1" ht="30" x14ac:dyDescent="0.25">
      <c r="A13" s="77">
        <v>11</v>
      </c>
      <c r="B13" s="51" t="s">
        <v>3</v>
      </c>
      <c r="C13" s="54" t="s">
        <v>92</v>
      </c>
      <c r="D13" s="56" t="s">
        <v>33</v>
      </c>
      <c r="E13" s="61"/>
      <c r="F13" s="57">
        <f t="shared" si="0"/>
        <v>3</v>
      </c>
      <c r="G13" s="58">
        <f t="shared" si="1"/>
        <v>2</v>
      </c>
      <c r="H13" s="62"/>
      <c r="I13" s="63"/>
      <c r="J13" s="63" t="s">
        <v>136</v>
      </c>
      <c r="K13" s="63"/>
      <c r="L13" s="63"/>
      <c r="M13" s="94" t="s">
        <v>147</v>
      </c>
      <c r="O13" s="60" t="s">
        <v>44</v>
      </c>
    </row>
    <row r="14" spans="1:15" s="60" customFormat="1" ht="30" x14ac:dyDescent="0.25">
      <c r="A14" s="77">
        <v>12</v>
      </c>
      <c r="B14" s="51" t="s">
        <v>11</v>
      </c>
      <c r="C14" s="54" t="s">
        <v>93</v>
      </c>
      <c r="D14" s="56" t="s">
        <v>35</v>
      </c>
      <c r="E14" s="61"/>
      <c r="F14" s="57">
        <f t="shared" si="0"/>
        <v>3</v>
      </c>
      <c r="G14" s="58">
        <f t="shared" si="1"/>
        <v>2</v>
      </c>
      <c r="H14" s="62"/>
      <c r="I14" s="63"/>
      <c r="J14" s="63" t="s">
        <v>136</v>
      </c>
      <c r="K14" s="63"/>
      <c r="L14" s="63"/>
      <c r="M14" s="94" t="s">
        <v>148</v>
      </c>
      <c r="O14" s="60" t="s">
        <v>45</v>
      </c>
    </row>
    <row r="15" spans="1:15" s="60" customFormat="1" ht="30" x14ac:dyDescent="0.25">
      <c r="A15" s="77">
        <v>13</v>
      </c>
      <c r="B15" s="51" t="s">
        <v>1</v>
      </c>
      <c r="C15" s="54" t="s">
        <v>91</v>
      </c>
      <c r="D15" s="61" t="s">
        <v>33</v>
      </c>
      <c r="E15" s="61"/>
      <c r="F15" s="57">
        <f t="shared" si="0"/>
        <v>3</v>
      </c>
      <c r="G15" s="58">
        <f t="shared" si="1"/>
        <v>2</v>
      </c>
      <c r="H15" s="62"/>
      <c r="I15" s="63"/>
      <c r="J15" s="63" t="s">
        <v>136</v>
      </c>
      <c r="K15" s="63"/>
      <c r="L15" s="63"/>
      <c r="M15" s="94" t="s">
        <v>149</v>
      </c>
    </row>
    <row r="16" spans="1:15" s="60" customFormat="1" ht="30" x14ac:dyDescent="0.25">
      <c r="A16" s="77">
        <v>14</v>
      </c>
      <c r="B16" s="51" t="s">
        <v>10</v>
      </c>
      <c r="C16" s="54" t="s">
        <v>89</v>
      </c>
      <c r="D16" s="61" t="s">
        <v>35</v>
      </c>
      <c r="E16" s="61"/>
      <c r="F16" s="57">
        <f t="shared" si="0"/>
        <v>4</v>
      </c>
      <c r="G16" s="58">
        <f t="shared" si="1"/>
        <v>3</v>
      </c>
      <c r="H16" s="62"/>
      <c r="I16" s="63"/>
      <c r="J16" s="63"/>
      <c r="K16" s="63" t="s">
        <v>136</v>
      </c>
      <c r="L16" s="63"/>
      <c r="M16" s="94" t="s">
        <v>150</v>
      </c>
    </row>
    <row r="17" spans="1:15" s="60" customFormat="1" ht="15.75" x14ac:dyDescent="0.25">
      <c r="A17" s="77">
        <v>15</v>
      </c>
      <c r="B17" s="51" t="s">
        <v>105</v>
      </c>
      <c r="C17" s="54" t="s">
        <v>108</v>
      </c>
      <c r="D17" s="61" t="s">
        <v>109</v>
      </c>
      <c r="E17" s="61"/>
      <c r="F17" s="57">
        <f t="shared" si="0"/>
        <v>2</v>
      </c>
      <c r="G17" s="58">
        <f t="shared" si="1"/>
        <v>1</v>
      </c>
      <c r="H17" s="62"/>
      <c r="I17" s="63" t="s">
        <v>136</v>
      </c>
      <c r="J17" s="63"/>
      <c r="K17" s="63"/>
      <c r="L17" s="63"/>
      <c r="M17" s="94" t="s">
        <v>151</v>
      </c>
      <c r="O17" s="69"/>
    </row>
    <row r="18" spans="1:15" s="60" customFormat="1" ht="30" x14ac:dyDescent="0.25">
      <c r="A18" s="77">
        <v>16</v>
      </c>
      <c r="B18" s="51" t="s">
        <v>30</v>
      </c>
      <c r="C18" s="54" t="s">
        <v>90</v>
      </c>
      <c r="D18" s="61" t="s">
        <v>40</v>
      </c>
      <c r="E18" s="61"/>
      <c r="F18" s="57">
        <f t="shared" si="0"/>
        <v>3</v>
      </c>
      <c r="G18" s="58">
        <f t="shared" si="1"/>
        <v>2</v>
      </c>
      <c r="H18" s="62"/>
      <c r="I18" s="63"/>
      <c r="J18" s="63" t="s">
        <v>136</v>
      </c>
      <c r="K18" s="63"/>
      <c r="L18" s="63"/>
      <c r="M18" s="94" t="s">
        <v>152</v>
      </c>
    </row>
    <row r="19" spans="1:15" s="60" customFormat="1" ht="30" x14ac:dyDescent="0.25">
      <c r="A19" s="77">
        <v>17</v>
      </c>
      <c r="B19" s="51" t="s">
        <v>14</v>
      </c>
      <c r="C19" s="54" t="s">
        <v>92</v>
      </c>
      <c r="D19" s="61" t="s">
        <v>36</v>
      </c>
      <c r="E19" s="61"/>
      <c r="F19" s="57">
        <f t="shared" si="0"/>
        <v>3</v>
      </c>
      <c r="G19" s="58">
        <f t="shared" si="1"/>
        <v>2</v>
      </c>
      <c r="H19" s="62"/>
      <c r="I19" s="63"/>
      <c r="J19" s="63" t="s">
        <v>136</v>
      </c>
      <c r="K19" s="63"/>
      <c r="L19" s="63"/>
      <c r="M19" s="94" t="s">
        <v>153</v>
      </c>
    </row>
    <row r="20" spans="1:15" s="60" customFormat="1" ht="30" x14ac:dyDescent="0.25">
      <c r="A20" s="77">
        <v>18</v>
      </c>
      <c r="B20" s="51" t="s">
        <v>102</v>
      </c>
      <c r="C20" s="54" t="s">
        <v>88</v>
      </c>
      <c r="D20" s="61" t="s">
        <v>109</v>
      </c>
      <c r="E20" s="61"/>
      <c r="F20" s="57">
        <f t="shared" si="0"/>
        <v>2</v>
      </c>
      <c r="G20" s="58">
        <f t="shared" si="1"/>
        <v>1</v>
      </c>
      <c r="H20" s="62"/>
      <c r="I20" s="63" t="s">
        <v>136</v>
      </c>
      <c r="J20" s="63"/>
      <c r="K20" s="63"/>
      <c r="L20" s="63"/>
      <c r="M20" s="94" t="s">
        <v>157</v>
      </c>
    </row>
    <row r="21" spans="1:15" s="60" customFormat="1" ht="30" x14ac:dyDescent="0.25">
      <c r="A21" s="77">
        <v>19</v>
      </c>
      <c r="B21" s="51" t="s">
        <v>9</v>
      </c>
      <c r="C21" s="54" t="s">
        <v>89</v>
      </c>
      <c r="D21" s="61" t="s">
        <v>35</v>
      </c>
      <c r="E21" s="61"/>
      <c r="F21" s="57">
        <f t="shared" si="0"/>
        <v>3</v>
      </c>
      <c r="G21" s="58">
        <f t="shared" si="1"/>
        <v>2</v>
      </c>
      <c r="H21" s="62"/>
      <c r="I21" s="63"/>
      <c r="J21" s="63" t="s">
        <v>136</v>
      </c>
      <c r="K21" s="63"/>
      <c r="L21" s="63"/>
      <c r="M21" s="94" t="s">
        <v>154</v>
      </c>
    </row>
    <row r="22" spans="1:15" s="60" customFormat="1" x14ac:dyDescent="0.25">
      <c r="A22" s="77">
        <v>20</v>
      </c>
      <c r="B22" s="51" t="s">
        <v>28</v>
      </c>
      <c r="C22" s="54" t="s">
        <v>89</v>
      </c>
      <c r="D22" s="61" t="s">
        <v>39</v>
      </c>
      <c r="E22" s="61"/>
      <c r="F22" s="57">
        <f t="shared" si="0"/>
        <v>3</v>
      </c>
      <c r="G22" s="58">
        <f t="shared" si="1"/>
        <v>2</v>
      </c>
      <c r="H22" s="62"/>
      <c r="I22" s="63"/>
      <c r="J22" s="63" t="s">
        <v>136</v>
      </c>
      <c r="K22" s="63"/>
      <c r="L22" s="63"/>
      <c r="M22" s="94" t="s">
        <v>155</v>
      </c>
    </row>
    <row r="23" spans="1:15" s="60" customFormat="1" x14ac:dyDescent="0.25">
      <c r="A23" s="77">
        <v>21</v>
      </c>
      <c r="B23" s="51" t="s">
        <v>107</v>
      </c>
      <c r="C23" s="54" t="s">
        <v>108</v>
      </c>
      <c r="D23" s="61" t="s">
        <v>109</v>
      </c>
      <c r="E23" s="61"/>
      <c r="F23" s="57">
        <f t="shared" si="0"/>
        <v>2</v>
      </c>
      <c r="G23" s="58">
        <f t="shared" si="1"/>
        <v>1</v>
      </c>
      <c r="H23" s="62"/>
      <c r="I23" s="63" t="s">
        <v>136</v>
      </c>
      <c r="J23" s="63"/>
      <c r="K23" s="63"/>
      <c r="L23" s="63"/>
      <c r="M23" s="94" t="s">
        <v>156</v>
      </c>
    </row>
    <row r="24" spans="1:15" s="60" customFormat="1" x14ac:dyDescent="0.25">
      <c r="A24" s="77">
        <v>22</v>
      </c>
      <c r="B24" s="51" t="s">
        <v>24</v>
      </c>
      <c r="C24" s="54" t="s">
        <v>91</v>
      </c>
      <c r="D24" s="61" t="s">
        <v>37</v>
      </c>
      <c r="E24" s="61"/>
      <c r="F24" s="57">
        <f t="shared" si="0"/>
        <v>3</v>
      </c>
      <c r="G24" s="58">
        <f t="shared" si="1"/>
        <v>2</v>
      </c>
      <c r="H24" s="62"/>
      <c r="I24" s="63"/>
      <c r="J24" s="63" t="s">
        <v>136</v>
      </c>
      <c r="K24" s="63"/>
      <c r="L24" s="63"/>
      <c r="M24" s="94" t="s">
        <v>158</v>
      </c>
    </row>
    <row r="25" spans="1:15" s="60" customFormat="1" x14ac:dyDescent="0.25">
      <c r="A25" s="77">
        <v>23</v>
      </c>
      <c r="B25" s="51" t="s">
        <v>15</v>
      </c>
      <c r="C25" s="54" t="s">
        <v>89</v>
      </c>
      <c r="D25" s="61" t="s">
        <v>35</v>
      </c>
      <c r="E25" s="61"/>
      <c r="F25" s="57">
        <f t="shared" si="0"/>
        <v>3</v>
      </c>
      <c r="G25" s="58">
        <f t="shared" si="1"/>
        <v>2</v>
      </c>
      <c r="H25" s="62"/>
      <c r="I25" s="63"/>
      <c r="J25" s="63" t="s">
        <v>136</v>
      </c>
      <c r="K25" s="63"/>
      <c r="L25" s="63"/>
      <c r="M25" s="94" t="s">
        <v>159</v>
      </c>
    </row>
    <row r="26" spans="1:15" s="60" customFormat="1" x14ac:dyDescent="0.25">
      <c r="A26" s="77">
        <v>24</v>
      </c>
      <c r="B26" s="51" t="s">
        <v>12</v>
      </c>
      <c r="C26" s="54" t="s">
        <v>93</v>
      </c>
      <c r="D26" s="61" t="s">
        <v>36</v>
      </c>
      <c r="E26" s="61"/>
      <c r="F26" s="57">
        <f t="shared" si="0"/>
        <v>3</v>
      </c>
      <c r="G26" s="58">
        <f t="shared" si="1"/>
        <v>2</v>
      </c>
      <c r="H26" s="62"/>
      <c r="I26" s="63"/>
      <c r="J26" s="63" t="s">
        <v>136</v>
      </c>
      <c r="K26" s="63"/>
      <c r="L26" s="63"/>
      <c r="M26" s="94" t="s">
        <v>160</v>
      </c>
    </row>
    <row r="27" spans="1:15" s="60" customFormat="1" x14ac:dyDescent="0.25">
      <c r="A27" s="77">
        <v>25</v>
      </c>
      <c r="B27" s="51" t="s">
        <v>4</v>
      </c>
      <c r="C27" s="54" t="s">
        <v>88</v>
      </c>
      <c r="D27" s="61" t="s">
        <v>33</v>
      </c>
      <c r="E27" s="61"/>
      <c r="F27" s="57">
        <f t="shared" si="0"/>
        <v>3</v>
      </c>
      <c r="G27" s="58">
        <f t="shared" si="1"/>
        <v>2</v>
      </c>
      <c r="H27" s="62"/>
      <c r="I27" s="63"/>
      <c r="J27" s="63" t="s">
        <v>136</v>
      </c>
      <c r="K27" s="63"/>
      <c r="L27" s="63"/>
      <c r="M27" s="94" t="s">
        <v>161</v>
      </c>
    </row>
    <row r="28" spans="1:15" s="60" customFormat="1" ht="30" x14ac:dyDescent="0.25">
      <c r="A28" s="77">
        <v>26</v>
      </c>
      <c r="B28" s="51" t="s">
        <v>7</v>
      </c>
      <c r="C28" s="54" t="s">
        <v>89</v>
      </c>
      <c r="D28" s="61" t="s">
        <v>35</v>
      </c>
      <c r="E28" s="61"/>
      <c r="F28" s="57">
        <f t="shared" si="0"/>
        <v>3</v>
      </c>
      <c r="G28" s="58">
        <f t="shared" si="1"/>
        <v>2</v>
      </c>
      <c r="H28" s="62"/>
      <c r="I28" s="63"/>
      <c r="J28" s="63" t="s">
        <v>136</v>
      </c>
      <c r="K28" s="63"/>
      <c r="L28" s="63"/>
      <c r="M28" s="94" t="s">
        <v>162</v>
      </c>
    </row>
    <row r="29" spans="1:15" s="60" customFormat="1" ht="30" x14ac:dyDescent="0.25">
      <c r="A29" s="77">
        <v>27</v>
      </c>
      <c r="B29" s="51" t="s">
        <v>103</v>
      </c>
      <c r="C29" s="54" t="s">
        <v>108</v>
      </c>
      <c r="D29" s="61" t="s">
        <v>109</v>
      </c>
      <c r="E29" s="61"/>
      <c r="F29" s="57">
        <f t="shared" si="0"/>
        <v>2</v>
      </c>
      <c r="G29" s="58">
        <f t="shared" si="1"/>
        <v>1</v>
      </c>
      <c r="H29" s="62"/>
      <c r="I29" s="63" t="s">
        <v>136</v>
      </c>
      <c r="J29" s="63"/>
      <c r="K29" s="63"/>
      <c r="L29" s="63"/>
      <c r="M29" s="94" t="s">
        <v>218</v>
      </c>
    </row>
    <row r="30" spans="1:15" s="60" customFormat="1" ht="30" x14ac:dyDescent="0.25">
      <c r="A30" s="77">
        <v>28</v>
      </c>
      <c r="B30" s="51" t="s">
        <v>38</v>
      </c>
      <c r="C30" s="54" t="s">
        <v>90</v>
      </c>
      <c r="D30" s="61" t="s">
        <v>36</v>
      </c>
      <c r="E30" s="61"/>
      <c r="F30" s="57">
        <f t="shared" si="0"/>
        <v>3</v>
      </c>
      <c r="G30" s="58">
        <f t="shared" si="1"/>
        <v>2</v>
      </c>
      <c r="H30" s="62"/>
      <c r="I30" s="63"/>
      <c r="J30" s="63" t="s">
        <v>136</v>
      </c>
      <c r="K30" s="63"/>
      <c r="L30" s="63"/>
      <c r="M30" s="94" t="s">
        <v>163</v>
      </c>
    </row>
    <row r="31" spans="1:15" s="60" customFormat="1" ht="30" x14ac:dyDescent="0.25">
      <c r="A31" s="77">
        <v>29</v>
      </c>
      <c r="B31" s="51" t="s">
        <v>23</v>
      </c>
      <c r="C31" s="54" t="s">
        <v>90</v>
      </c>
      <c r="D31" s="61" t="s">
        <v>40</v>
      </c>
      <c r="E31" s="61"/>
      <c r="F31" s="57">
        <f t="shared" si="0"/>
        <v>3</v>
      </c>
      <c r="G31" s="58">
        <f t="shared" si="1"/>
        <v>2</v>
      </c>
      <c r="H31" s="62"/>
      <c r="I31" s="63"/>
      <c r="J31" s="63" t="s">
        <v>136</v>
      </c>
      <c r="K31" s="63"/>
      <c r="L31" s="63"/>
      <c r="M31" s="94" t="s">
        <v>164</v>
      </c>
    </row>
    <row r="32" spans="1:15" s="60" customFormat="1" ht="30" x14ac:dyDescent="0.25">
      <c r="A32" s="77">
        <v>30</v>
      </c>
      <c r="B32" s="51" t="s">
        <v>18</v>
      </c>
      <c r="C32" s="54" t="s">
        <v>88</v>
      </c>
      <c r="D32" s="61" t="s">
        <v>39</v>
      </c>
      <c r="E32" s="61"/>
      <c r="F32" s="57">
        <f t="shared" si="0"/>
        <v>2</v>
      </c>
      <c r="G32" s="58">
        <f t="shared" si="1"/>
        <v>1</v>
      </c>
      <c r="H32" s="62"/>
      <c r="I32" s="63" t="s">
        <v>136</v>
      </c>
      <c r="J32" s="63"/>
      <c r="K32" s="63"/>
      <c r="L32" s="63"/>
      <c r="M32" s="94" t="s">
        <v>165</v>
      </c>
    </row>
    <row r="33" spans="1:13" s="60" customFormat="1" x14ac:dyDescent="0.25">
      <c r="A33" s="77">
        <v>31</v>
      </c>
      <c r="B33" s="51" t="s">
        <v>104</v>
      </c>
      <c r="C33" s="54" t="s">
        <v>108</v>
      </c>
      <c r="D33" s="61" t="s">
        <v>109</v>
      </c>
      <c r="E33" s="61"/>
      <c r="F33" s="57">
        <f t="shared" si="0"/>
        <v>2</v>
      </c>
      <c r="G33" s="58">
        <f t="shared" si="1"/>
        <v>1</v>
      </c>
      <c r="H33" s="62"/>
      <c r="I33" s="63" t="s">
        <v>136</v>
      </c>
      <c r="J33" s="63"/>
      <c r="K33" s="63"/>
      <c r="L33" s="63"/>
      <c r="M33" s="94" t="s">
        <v>217</v>
      </c>
    </row>
    <row r="34" spans="1:13" s="60" customFormat="1" ht="30" x14ac:dyDescent="0.25">
      <c r="A34" s="77">
        <v>32</v>
      </c>
      <c r="B34" s="51" t="s">
        <v>8</v>
      </c>
      <c r="C34" s="54" t="s">
        <v>93</v>
      </c>
      <c r="D34" s="61" t="s">
        <v>35</v>
      </c>
      <c r="E34" s="61"/>
      <c r="F34" s="57">
        <f t="shared" si="0"/>
        <v>3</v>
      </c>
      <c r="G34" s="58">
        <f t="shared" si="1"/>
        <v>2</v>
      </c>
      <c r="H34" s="62"/>
      <c r="I34" s="63"/>
      <c r="J34" s="63" t="s">
        <v>136</v>
      </c>
      <c r="K34" s="63"/>
      <c r="L34" s="63"/>
      <c r="M34" s="94" t="s">
        <v>167</v>
      </c>
    </row>
    <row r="35" spans="1:13" s="60" customFormat="1" x14ac:dyDescent="0.25">
      <c r="A35" s="77">
        <v>33</v>
      </c>
      <c r="B35" s="51" t="s">
        <v>26</v>
      </c>
      <c r="C35" s="54" t="s">
        <v>90</v>
      </c>
      <c r="D35" s="61" t="s">
        <v>37</v>
      </c>
      <c r="E35" s="61"/>
      <c r="F35" s="57">
        <f t="shared" si="0"/>
        <v>2</v>
      </c>
      <c r="G35" s="58">
        <f t="shared" si="1"/>
        <v>1</v>
      </c>
      <c r="H35" s="62"/>
      <c r="I35" s="63" t="s">
        <v>136</v>
      </c>
      <c r="J35" s="63"/>
      <c r="K35" s="63"/>
      <c r="L35" s="63"/>
      <c r="M35" s="94" t="s">
        <v>168</v>
      </c>
    </row>
    <row r="36" spans="1:13" s="60" customFormat="1" ht="30" x14ac:dyDescent="0.25">
      <c r="A36" s="77">
        <v>34</v>
      </c>
      <c r="B36" s="51" t="s">
        <v>106</v>
      </c>
      <c r="C36" s="54" t="s">
        <v>108</v>
      </c>
      <c r="D36" s="61" t="s">
        <v>109</v>
      </c>
      <c r="E36" s="61"/>
      <c r="F36" s="57">
        <f t="shared" si="0"/>
        <v>3</v>
      </c>
      <c r="G36" s="58">
        <f t="shared" si="1"/>
        <v>2</v>
      </c>
      <c r="H36" s="62"/>
      <c r="I36" s="63"/>
      <c r="J36" s="63" t="s">
        <v>136</v>
      </c>
      <c r="K36" s="63"/>
      <c r="L36" s="63"/>
      <c r="M36" s="94" t="s">
        <v>166</v>
      </c>
    </row>
    <row r="37" spans="1:13" s="60" customFormat="1" ht="30" x14ac:dyDescent="0.25">
      <c r="A37" s="77">
        <v>35</v>
      </c>
      <c r="B37" s="51" t="s">
        <v>21</v>
      </c>
      <c r="C37" s="54" t="s">
        <v>90</v>
      </c>
      <c r="D37" s="61" t="s">
        <v>37</v>
      </c>
      <c r="E37" s="61"/>
      <c r="F37" s="57">
        <f t="shared" si="0"/>
        <v>3</v>
      </c>
      <c r="G37" s="58">
        <f t="shared" si="1"/>
        <v>2</v>
      </c>
      <c r="H37" s="62"/>
      <c r="I37" s="63"/>
      <c r="J37" s="63" t="s">
        <v>136</v>
      </c>
      <c r="K37" s="63"/>
      <c r="L37" s="63"/>
      <c r="M37" s="94" t="s">
        <v>169</v>
      </c>
    </row>
    <row r="38" spans="1:13" s="60" customFormat="1" x14ac:dyDescent="0.25">
      <c r="A38" s="77">
        <v>36</v>
      </c>
      <c r="B38" s="51" t="s">
        <v>5</v>
      </c>
      <c r="C38" s="54" t="s">
        <v>88</v>
      </c>
      <c r="D38" s="61" t="s">
        <v>33</v>
      </c>
      <c r="E38" s="61"/>
      <c r="F38" s="57">
        <f t="shared" si="0"/>
        <v>3</v>
      </c>
      <c r="G38" s="58">
        <f t="shared" si="1"/>
        <v>2</v>
      </c>
      <c r="H38" s="62"/>
      <c r="I38" s="63"/>
      <c r="J38" s="63" t="s">
        <v>136</v>
      </c>
      <c r="K38" s="63"/>
      <c r="L38" s="63"/>
      <c r="M38" s="94" t="s">
        <v>170</v>
      </c>
    </row>
    <row r="39" spans="1:13" s="60" customFormat="1" ht="30" x14ac:dyDescent="0.25">
      <c r="A39" s="77">
        <v>37</v>
      </c>
      <c r="B39" s="51" t="s">
        <v>22</v>
      </c>
      <c r="C39" s="54" t="s">
        <v>91</v>
      </c>
      <c r="D39" s="61" t="s">
        <v>37</v>
      </c>
      <c r="E39" s="61"/>
      <c r="F39" s="57">
        <f t="shared" si="0"/>
        <v>3</v>
      </c>
      <c r="G39" s="58">
        <f t="shared" si="1"/>
        <v>2</v>
      </c>
      <c r="H39" s="62"/>
      <c r="I39" s="63"/>
      <c r="J39" s="63" t="s">
        <v>136</v>
      </c>
      <c r="K39" s="63"/>
      <c r="L39" s="63"/>
      <c r="M39" s="94" t="s">
        <v>171</v>
      </c>
    </row>
    <row r="40" spans="1:13" s="60" customFormat="1" ht="30" x14ac:dyDescent="0.25">
      <c r="A40" s="77">
        <v>38</v>
      </c>
      <c r="B40" s="51" t="s">
        <v>25</v>
      </c>
      <c r="C40" s="54" t="s">
        <v>91</v>
      </c>
      <c r="D40" s="61" t="s">
        <v>34</v>
      </c>
      <c r="E40" s="61"/>
      <c r="F40" s="57">
        <f t="shared" si="0"/>
        <v>2</v>
      </c>
      <c r="G40" s="58">
        <f t="shared" si="1"/>
        <v>1</v>
      </c>
      <c r="H40" s="62"/>
      <c r="I40" s="63" t="s">
        <v>136</v>
      </c>
      <c r="J40" s="63"/>
      <c r="K40" s="63"/>
      <c r="L40" s="63"/>
      <c r="M40" s="94" t="s">
        <v>172</v>
      </c>
    </row>
    <row r="41" spans="1:13" s="60" customFormat="1" ht="30.75" thickBot="1" x14ac:dyDescent="0.3">
      <c r="A41" s="77">
        <v>39</v>
      </c>
      <c r="B41" s="73" t="s">
        <v>17</v>
      </c>
      <c r="C41" s="55" t="s">
        <v>90</v>
      </c>
      <c r="D41" s="64" t="s">
        <v>37</v>
      </c>
      <c r="E41" s="64"/>
      <c r="F41" s="57">
        <f t="shared" si="0"/>
        <v>3</v>
      </c>
      <c r="G41" s="58">
        <f t="shared" si="1"/>
        <v>2</v>
      </c>
      <c r="H41" s="65"/>
      <c r="I41" s="66"/>
      <c r="J41" s="66" t="s">
        <v>136</v>
      </c>
      <c r="K41" s="66"/>
      <c r="L41" s="66"/>
      <c r="M41" s="95" t="s">
        <v>173</v>
      </c>
    </row>
    <row r="43" spans="1:13" x14ac:dyDescent="0.25">
      <c r="B43" s="53" t="s">
        <v>99</v>
      </c>
    </row>
    <row r="44" spans="1:13" x14ac:dyDescent="0.25">
      <c r="B44" s="72" t="s">
        <v>100</v>
      </c>
    </row>
  </sheetData>
  <sortState xmlns:xlrd2="http://schemas.microsoft.com/office/spreadsheetml/2017/richdata2" ref="A3:F41">
    <sortCondition ref="A3:A41"/>
  </sortState>
  <hyperlinks>
    <hyperlink ref="B44" r:id="rId1" xr:uid="{7C03446F-6DFF-4869-A72D-46149FDB36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6731-3B38-450A-BF17-6B0174F5BDF9}">
  <dimension ref="A1:O44"/>
  <sheetViews>
    <sheetView topLeftCell="B18" zoomScale="90" zoomScaleNormal="90" workbookViewId="0">
      <selection activeCell="O4" sqref="O4"/>
    </sheetView>
  </sheetViews>
  <sheetFormatPr defaultRowHeight="15" x14ac:dyDescent="0.25"/>
  <cols>
    <col min="1" max="1" width="4.42578125" style="76" customWidth="1"/>
    <col min="2" max="2" width="45.5703125" style="52" customWidth="1"/>
    <col min="3" max="3" width="8.140625" hidden="1" customWidth="1"/>
    <col min="4" max="4" width="5.140625" hidden="1" customWidth="1"/>
    <col min="5" max="5" width="1" hidden="1" customWidth="1"/>
    <col min="6" max="6" width="4.42578125" hidden="1" customWidth="1"/>
    <col min="7" max="7" width="4.5703125" hidden="1" customWidth="1"/>
    <col min="8" max="12" width="4.5703125" customWidth="1"/>
    <col min="13" max="13" width="103.7109375" customWidth="1"/>
    <col min="14" max="14" width="4.42578125" customWidth="1"/>
    <col min="15" max="15" width="58.85546875" customWidth="1"/>
  </cols>
  <sheetData>
    <row r="1" spans="1:15" x14ac:dyDescent="0.25">
      <c r="A1" s="74"/>
      <c r="B1" s="49" t="s">
        <v>43</v>
      </c>
      <c r="C1" s="4"/>
      <c r="D1" s="4" t="s">
        <v>32</v>
      </c>
      <c r="E1" s="4"/>
      <c r="F1" s="4"/>
      <c r="G1" s="2">
        <v>0</v>
      </c>
      <c r="H1" s="2">
        <v>0</v>
      </c>
      <c r="I1" s="2">
        <v>1</v>
      </c>
      <c r="J1" s="2">
        <v>2</v>
      </c>
      <c r="K1" s="2">
        <v>3</v>
      </c>
      <c r="L1" s="2">
        <v>4</v>
      </c>
      <c r="M1" s="46" t="s">
        <v>86</v>
      </c>
    </row>
    <row r="2" spans="1:15" ht="233.25" thickBot="1" x14ac:dyDescent="0.3">
      <c r="A2" s="75"/>
      <c r="B2" s="50"/>
      <c r="C2" s="5"/>
      <c r="D2" s="5"/>
      <c r="E2" s="5"/>
      <c r="F2" s="6"/>
      <c r="G2" s="70"/>
      <c r="H2" s="70" t="s">
        <v>121</v>
      </c>
      <c r="I2" s="70" t="s">
        <v>122</v>
      </c>
      <c r="J2" s="71" t="s">
        <v>123</v>
      </c>
      <c r="K2" s="71" t="s">
        <v>124</v>
      </c>
      <c r="L2" s="71" t="s">
        <v>125</v>
      </c>
      <c r="M2" s="47" t="s">
        <v>87</v>
      </c>
      <c r="O2" t="s">
        <v>41</v>
      </c>
    </row>
    <row r="3" spans="1:15" s="60" customFormat="1" ht="30" x14ac:dyDescent="0.25">
      <c r="A3" s="77">
        <v>1</v>
      </c>
      <c r="B3" s="51" t="s">
        <v>31</v>
      </c>
      <c r="C3" s="53" t="s">
        <v>91</v>
      </c>
      <c r="D3" s="56" t="s">
        <v>40</v>
      </c>
      <c r="E3" s="56"/>
      <c r="F3" s="57">
        <f>IF(ISNA(MATCH("x",$H3:$L3,0)),0,MATCH("x",$H3:$L3,0))</f>
        <v>5</v>
      </c>
      <c r="G3" s="58">
        <f>IF(F3=0,0,F3-1)</f>
        <v>4</v>
      </c>
      <c r="H3" s="58"/>
      <c r="I3" s="59"/>
      <c r="J3" s="59"/>
      <c r="K3" s="59"/>
      <c r="L3" s="59" t="s">
        <v>136</v>
      </c>
      <c r="M3" s="93" t="s">
        <v>174</v>
      </c>
    </row>
    <row r="4" spans="1:15" s="60" customFormat="1" ht="30" x14ac:dyDescent="0.25">
      <c r="A4" s="77">
        <v>2</v>
      </c>
      <c r="B4" s="51" t="s">
        <v>2</v>
      </c>
      <c r="C4" s="53" t="s">
        <v>88</v>
      </c>
      <c r="D4" s="56" t="s">
        <v>33</v>
      </c>
      <c r="E4" s="56"/>
      <c r="F4" s="57">
        <f t="shared" ref="F4:F41" si="0">IF(ISNA(MATCH("x",$H4:$L4,0)),0,MATCH("x",$H4:$L4,0))</f>
        <v>5</v>
      </c>
      <c r="G4" s="58">
        <f t="shared" ref="G4:G41" si="1">IF(F4=0,0,F4-1)</f>
        <v>4</v>
      </c>
      <c r="H4" s="58"/>
      <c r="I4" s="59"/>
      <c r="J4" s="59"/>
      <c r="K4" s="59"/>
      <c r="L4" s="59" t="s">
        <v>136</v>
      </c>
      <c r="M4" s="93" t="s">
        <v>175</v>
      </c>
    </row>
    <row r="5" spans="1:15" s="60" customFormat="1" ht="30" x14ac:dyDescent="0.25">
      <c r="A5" s="77">
        <v>3</v>
      </c>
      <c r="B5" s="51" t="s">
        <v>6</v>
      </c>
      <c r="C5" s="53" t="s">
        <v>88</v>
      </c>
      <c r="D5" s="56" t="s">
        <v>34</v>
      </c>
      <c r="E5" s="56"/>
      <c r="F5" s="57">
        <f t="shared" si="0"/>
        <v>3</v>
      </c>
      <c r="G5" s="58">
        <f t="shared" si="1"/>
        <v>2</v>
      </c>
      <c r="H5" s="58"/>
      <c r="I5" s="59"/>
      <c r="J5" s="59" t="s">
        <v>136</v>
      </c>
      <c r="K5" s="59"/>
      <c r="L5" s="59"/>
      <c r="M5" s="93" t="s">
        <v>176</v>
      </c>
    </row>
    <row r="6" spans="1:15" s="60" customFormat="1" ht="30" x14ac:dyDescent="0.25">
      <c r="A6" s="77">
        <v>4</v>
      </c>
      <c r="B6" s="51" t="s">
        <v>16</v>
      </c>
      <c r="C6" s="53" t="s">
        <v>90</v>
      </c>
      <c r="D6" s="56" t="s">
        <v>37</v>
      </c>
      <c r="E6" s="56"/>
      <c r="F6" s="57">
        <f t="shared" si="0"/>
        <v>4</v>
      </c>
      <c r="G6" s="58">
        <f t="shared" si="1"/>
        <v>3</v>
      </c>
      <c r="H6" s="58"/>
      <c r="I6" s="59"/>
      <c r="J6" s="59"/>
      <c r="K6" s="59" t="s">
        <v>136</v>
      </c>
      <c r="L6" s="59"/>
      <c r="M6" s="93" t="s">
        <v>177</v>
      </c>
    </row>
    <row r="7" spans="1:15" s="60" customFormat="1" ht="30" x14ac:dyDescent="0.25">
      <c r="A7" s="77">
        <v>5</v>
      </c>
      <c r="B7" s="51" t="s">
        <v>20</v>
      </c>
      <c r="C7" s="53" t="s">
        <v>90</v>
      </c>
      <c r="D7" s="56" t="s">
        <v>35</v>
      </c>
      <c r="E7" s="56"/>
      <c r="F7" s="57">
        <f t="shared" si="0"/>
        <v>5</v>
      </c>
      <c r="G7" s="58">
        <f t="shared" si="1"/>
        <v>4</v>
      </c>
      <c r="H7" s="58"/>
      <c r="I7" s="59"/>
      <c r="J7" s="59"/>
      <c r="K7" s="59"/>
      <c r="L7" s="59" t="s">
        <v>136</v>
      </c>
      <c r="M7" s="93" t="s">
        <v>178</v>
      </c>
    </row>
    <row r="8" spans="1:15" s="60" customFormat="1" ht="30" x14ac:dyDescent="0.25">
      <c r="A8" s="77">
        <v>6</v>
      </c>
      <c r="B8" s="51" t="s">
        <v>29</v>
      </c>
      <c r="C8" s="53" t="s">
        <v>90</v>
      </c>
      <c r="D8" s="56" t="s">
        <v>39</v>
      </c>
      <c r="E8" s="56"/>
      <c r="F8" s="57">
        <f t="shared" si="0"/>
        <v>5</v>
      </c>
      <c r="G8" s="58">
        <f t="shared" si="1"/>
        <v>4</v>
      </c>
      <c r="H8" s="58"/>
      <c r="I8" s="59"/>
      <c r="J8" s="59"/>
      <c r="K8" s="59"/>
      <c r="L8" s="59" t="s">
        <v>136</v>
      </c>
      <c r="M8" s="93" t="s">
        <v>179</v>
      </c>
    </row>
    <row r="9" spans="1:15" s="60" customFormat="1" ht="30" x14ac:dyDescent="0.25">
      <c r="A9" s="77">
        <v>7</v>
      </c>
      <c r="B9" s="51" t="s">
        <v>27</v>
      </c>
      <c r="C9" s="53" t="s">
        <v>90</v>
      </c>
      <c r="D9" s="56" t="s">
        <v>39</v>
      </c>
      <c r="E9" s="56"/>
      <c r="F9" s="57">
        <f t="shared" si="0"/>
        <v>5</v>
      </c>
      <c r="G9" s="58">
        <f t="shared" si="1"/>
        <v>4</v>
      </c>
      <c r="H9" s="58"/>
      <c r="I9" s="59"/>
      <c r="J9" s="59"/>
      <c r="K9" s="59"/>
      <c r="L9" s="59" t="s">
        <v>136</v>
      </c>
      <c r="M9" s="93" t="s">
        <v>180</v>
      </c>
    </row>
    <row r="10" spans="1:15" s="60" customFormat="1" ht="30" x14ac:dyDescent="0.25">
      <c r="A10" s="77">
        <v>8</v>
      </c>
      <c r="B10" s="51" t="s">
        <v>13</v>
      </c>
      <c r="C10" s="53" t="s">
        <v>90</v>
      </c>
      <c r="D10" s="56" t="s">
        <v>36</v>
      </c>
      <c r="E10" s="56"/>
      <c r="F10" s="57">
        <f t="shared" si="0"/>
        <v>5</v>
      </c>
      <c r="G10" s="58">
        <f t="shared" si="1"/>
        <v>4</v>
      </c>
      <c r="H10" s="58"/>
      <c r="I10" s="59"/>
      <c r="J10" s="59"/>
      <c r="K10" s="59"/>
      <c r="L10" s="59" t="s">
        <v>136</v>
      </c>
      <c r="M10" s="93" t="s">
        <v>185</v>
      </c>
    </row>
    <row r="11" spans="1:15" s="60" customFormat="1" ht="30" x14ac:dyDescent="0.25">
      <c r="A11" s="77">
        <v>9</v>
      </c>
      <c r="B11" s="51" t="s">
        <v>19</v>
      </c>
      <c r="C11" s="54" t="s">
        <v>90</v>
      </c>
      <c r="D11" s="56" t="s">
        <v>37</v>
      </c>
      <c r="E11" s="61"/>
      <c r="F11" s="57">
        <f t="shared" si="0"/>
        <v>5</v>
      </c>
      <c r="G11" s="58">
        <f t="shared" si="1"/>
        <v>4</v>
      </c>
      <c r="H11" s="62"/>
      <c r="I11" s="63"/>
      <c r="J11" s="63"/>
      <c r="K11" s="63"/>
      <c r="L11" s="63" t="s">
        <v>136</v>
      </c>
      <c r="M11" s="94" t="s">
        <v>181</v>
      </c>
      <c r="O11" s="60" t="s">
        <v>111</v>
      </c>
    </row>
    <row r="12" spans="1:15" s="60" customFormat="1" ht="30" x14ac:dyDescent="0.25">
      <c r="A12" s="77">
        <v>10</v>
      </c>
      <c r="B12" s="51" t="s">
        <v>101</v>
      </c>
      <c r="C12" s="54" t="s">
        <v>88</v>
      </c>
      <c r="D12" s="56" t="s">
        <v>109</v>
      </c>
      <c r="E12" s="61"/>
      <c r="F12" s="57">
        <f t="shared" si="0"/>
        <v>5</v>
      </c>
      <c r="G12" s="58">
        <f t="shared" si="1"/>
        <v>4</v>
      </c>
      <c r="H12" s="62"/>
      <c r="I12" s="63"/>
      <c r="J12" s="63"/>
      <c r="K12" s="63"/>
      <c r="L12" s="63" t="s">
        <v>136</v>
      </c>
      <c r="M12" s="94" t="s">
        <v>186</v>
      </c>
      <c r="O12" s="60" t="s">
        <v>42</v>
      </c>
    </row>
    <row r="13" spans="1:15" s="60" customFormat="1" ht="30" x14ac:dyDescent="0.25">
      <c r="A13" s="77">
        <v>11</v>
      </c>
      <c r="B13" s="51" t="s">
        <v>3</v>
      </c>
      <c r="C13" s="54" t="s">
        <v>92</v>
      </c>
      <c r="D13" s="56" t="s">
        <v>33</v>
      </c>
      <c r="E13" s="61"/>
      <c r="F13" s="57">
        <f t="shared" si="0"/>
        <v>5</v>
      </c>
      <c r="G13" s="58">
        <f t="shared" si="1"/>
        <v>4</v>
      </c>
      <c r="H13" s="62"/>
      <c r="I13" s="63"/>
      <c r="J13" s="63"/>
      <c r="K13" s="63"/>
      <c r="L13" s="63" t="s">
        <v>136</v>
      </c>
      <c r="M13" s="94" t="s">
        <v>187</v>
      </c>
      <c r="O13" s="60" t="s">
        <v>44</v>
      </c>
    </row>
    <row r="14" spans="1:15" s="60" customFormat="1" ht="30" x14ac:dyDescent="0.25">
      <c r="A14" s="77">
        <v>12</v>
      </c>
      <c r="B14" s="51" t="s">
        <v>11</v>
      </c>
      <c r="C14" s="54" t="s">
        <v>93</v>
      </c>
      <c r="D14" s="56" t="s">
        <v>35</v>
      </c>
      <c r="E14" s="61"/>
      <c r="F14" s="57">
        <f t="shared" si="0"/>
        <v>4</v>
      </c>
      <c r="G14" s="58">
        <f t="shared" si="1"/>
        <v>3</v>
      </c>
      <c r="H14" s="62"/>
      <c r="I14" s="63"/>
      <c r="J14" s="63"/>
      <c r="K14" s="63" t="s">
        <v>136</v>
      </c>
      <c r="L14" s="63"/>
      <c r="M14" s="94" t="s">
        <v>182</v>
      </c>
      <c r="O14" s="60" t="s">
        <v>45</v>
      </c>
    </row>
    <row r="15" spans="1:15" s="60" customFormat="1" ht="30" x14ac:dyDescent="0.25">
      <c r="A15" s="77">
        <v>13</v>
      </c>
      <c r="B15" s="51" t="s">
        <v>1</v>
      </c>
      <c r="C15" s="54" t="s">
        <v>91</v>
      </c>
      <c r="D15" s="61" t="s">
        <v>33</v>
      </c>
      <c r="E15" s="61"/>
      <c r="F15" s="57">
        <f t="shared" si="0"/>
        <v>5</v>
      </c>
      <c r="G15" s="58">
        <f t="shared" si="1"/>
        <v>4</v>
      </c>
      <c r="H15" s="62"/>
      <c r="I15" s="63"/>
      <c r="J15" s="63"/>
      <c r="K15" s="63"/>
      <c r="L15" s="63" t="s">
        <v>136</v>
      </c>
      <c r="M15" s="94" t="s">
        <v>183</v>
      </c>
    </row>
    <row r="16" spans="1:15" s="60" customFormat="1" ht="30" x14ac:dyDescent="0.25">
      <c r="A16" s="77">
        <v>14</v>
      </c>
      <c r="B16" s="51" t="s">
        <v>10</v>
      </c>
      <c r="C16" s="54" t="s">
        <v>89</v>
      </c>
      <c r="D16" s="61" t="s">
        <v>35</v>
      </c>
      <c r="E16" s="61"/>
      <c r="F16" s="57">
        <f t="shared" si="0"/>
        <v>4</v>
      </c>
      <c r="G16" s="58">
        <f t="shared" si="1"/>
        <v>3</v>
      </c>
      <c r="H16" s="62"/>
      <c r="I16" s="63"/>
      <c r="J16" s="63"/>
      <c r="K16" s="63" t="s">
        <v>136</v>
      </c>
      <c r="L16" s="63"/>
      <c r="M16" s="94" t="s">
        <v>184</v>
      </c>
    </row>
    <row r="17" spans="1:15" s="60" customFormat="1" ht="30" x14ac:dyDescent="0.25">
      <c r="A17" s="77">
        <v>15</v>
      </c>
      <c r="B17" s="51" t="s">
        <v>105</v>
      </c>
      <c r="C17" s="54" t="s">
        <v>108</v>
      </c>
      <c r="D17" s="61" t="s">
        <v>109</v>
      </c>
      <c r="E17" s="61"/>
      <c r="F17" s="57">
        <f t="shared" si="0"/>
        <v>5</v>
      </c>
      <c r="G17" s="58">
        <f t="shared" si="1"/>
        <v>4</v>
      </c>
      <c r="H17" s="62"/>
      <c r="I17" s="63"/>
      <c r="J17" s="63"/>
      <c r="K17" s="63"/>
      <c r="L17" s="63" t="s">
        <v>136</v>
      </c>
      <c r="M17" s="94" t="s">
        <v>188</v>
      </c>
      <c r="O17" s="69"/>
    </row>
    <row r="18" spans="1:15" s="60" customFormat="1" ht="45" x14ac:dyDescent="0.25">
      <c r="A18" s="77">
        <v>16</v>
      </c>
      <c r="B18" s="51" t="s">
        <v>30</v>
      </c>
      <c r="C18" s="54" t="s">
        <v>90</v>
      </c>
      <c r="D18" s="61" t="s">
        <v>40</v>
      </c>
      <c r="E18" s="61"/>
      <c r="F18" s="57">
        <f t="shared" si="0"/>
        <v>5</v>
      </c>
      <c r="G18" s="58">
        <f t="shared" si="1"/>
        <v>4</v>
      </c>
      <c r="H18" s="62"/>
      <c r="I18" s="63"/>
      <c r="J18" s="63"/>
      <c r="K18" s="63"/>
      <c r="L18" s="63" t="s">
        <v>136</v>
      </c>
      <c r="M18" s="94" t="s">
        <v>202</v>
      </c>
    </row>
    <row r="19" spans="1:15" s="60" customFormat="1" ht="30" x14ac:dyDescent="0.25">
      <c r="A19" s="77">
        <v>17</v>
      </c>
      <c r="B19" s="51" t="s">
        <v>14</v>
      </c>
      <c r="C19" s="54" t="s">
        <v>92</v>
      </c>
      <c r="D19" s="61" t="s">
        <v>36</v>
      </c>
      <c r="E19" s="61"/>
      <c r="F19" s="57">
        <f t="shared" si="0"/>
        <v>2</v>
      </c>
      <c r="G19" s="58">
        <f t="shared" si="1"/>
        <v>1</v>
      </c>
      <c r="H19" s="62"/>
      <c r="I19" s="63" t="s">
        <v>136</v>
      </c>
      <c r="J19" s="63"/>
      <c r="K19" s="63"/>
      <c r="L19" s="63"/>
      <c r="M19" s="94" t="s">
        <v>189</v>
      </c>
    </row>
    <row r="20" spans="1:15" s="60" customFormat="1" ht="30" x14ac:dyDescent="0.25">
      <c r="A20" s="77">
        <v>18</v>
      </c>
      <c r="B20" s="51" t="s">
        <v>102</v>
      </c>
      <c r="C20" s="54" t="s">
        <v>88</v>
      </c>
      <c r="D20" s="61" t="s">
        <v>109</v>
      </c>
      <c r="E20" s="61"/>
      <c r="F20" s="57">
        <f t="shared" si="0"/>
        <v>4</v>
      </c>
      <c r="G20" s="58">
        <f t="shared" si="1"/>
        <v>3</v>
      </c>
      <c r="H20" s="62"/>
      <c r="I20" s="63"/>
      <c r="J20" s="63"/>
      <c r="K20" s="63" t="s">
        <v>136</v>
      </c>
      <c r="L20" s="63"/>
      <c r="M20" s="94" t="s">
        <v>190</v>
      </c>
    </row>
    <row r="21" spans="1:15" s="60" customFormat="1" ht="30" x14ac:dyDescent="0.25">
      <c r="A21" s="77">
        <v>19</v>
      </c>
      <c r="B21" s="51" t="s">
        <v>9</v>
      </c>
      <c r="C21" s="54" t="s">
        <v>89</v>
      </c>
      <c r="D21" s="61" t="s">
        <v>35</v>
      </c>
      <c r="E21" s="61"/>
      <c r="F21" s="57">
        <f t="shared" si="0"/>
        <v>3</v>
      </c>
      <c r="G21" s="58">
        <f t="shared" si="1"/>
        <v>2</v>
      </c>
      <c r="H21" s="62"/>
      <c r="I21" s="63"/>
      <c r="J21" s="63" t="s">
        <v>136</v>
      </c>
      <c r="K21" s="63"/>
      <c r="L21" s="63"/>
      <c r="M21" s="94" t="s">
        <v>191</v>
      </c>
    </row>
    <row r="22" spans="1:15" s="60" customFormat="1" x14ac:dyDescent="0.25">
      <c r="A22" s="77">
        <v>20</v>
      </c>
      <c r="B22" s="51" t="s">
        <v>28</v>
      </c>
      <c r="C22" s="54" t="s">
        <v>89</v>
      </c>
      <c r="D22" s="61" t="s">
        <v>39</v>
      </c>
      <c r="E22" s="61"/>
      <c r="F22" s="57">
        <f t="shared" si="0"/>
        <v>2</v>
      </c>
      <c r="G22" s="58">
        <f t="shared" si="1"/>
        <v>1</v>
      </c>
      <c r="H22" s="62"/>
      <c r="I22" s="63" t="s">
        <v>136</v>
      </c>
      <c r="J22" s="63"/>
      <c r="K22" s="63"/>
      <c r="L22" s="63"/>
      <c r="M22" s="94" t="s">
        <v>192</v>
      </c>
    </row>
    <row r="23" spans="1:15" s="60" customFormat="1" ht="30" x14ac:dyDescent="0.25">
      <c r="A23" s="77">
        <v>21</v>
      </c>
      <c r="B23" s="51" t="s">
        <v>107</v>
      </c>
      <c r="C23" s="54" t="s">
        <v>108</v>
      </c>
      <c r="D23" s="61" t="s">
        <v>109</v>
      </c>
      <c r="E23" s="61"/>
      <c r="F23" s="57">
        <f t="shared" si="0"/>
        <v>5</v>
      </c>
      <c r="G23" s="58">
        <f t="shared" si="1"/>
        <v>4</v>
      </c>
      <c r="H23" s="62"/>
      <c r="I23" s="63"/>
      <c r="J23" s="63"/>
      <c r="K23" s="63"/>
      <c r="L23" s="63" t="s">
        <v>136</v>
      </c>
      <c r="M23" s="94" t="s">
        <v>205</v>
      </c>
    </row>
    <row r="24" spans="1:15" s="60" customFormat="1" ht="30" x14ac:dyDescent="0.25">
      <c r="A24" s="77">
        <v>22</v>
      </c>
      <c r="B24" s="51" t="s">
        <v>24</v>
      </c>
      <c r="C24" s="54" t="s">
        <v>91</v>
      </c>
      <c r="D24" s="61" t="s">
        <v>37</v>
      </c>
      <c r="E24" s="61"/>
      <c r="F24" s="57">
        <f t="shared" si="0"/>
        <v>4</v>
      </c>
      <c r="G24" s="58">
        <f t="shared" si="1"/>
        <v>3</v>
      </c>
      <c r="H24" s="62"/>
      <c r="I24" s="63"/>
      <c r="J24" s="63"/>
      <c r="K24" s="63" t="s">
        <v>136</v>
      </c>
      <c r="L24" s="63"/>
      <c r="M24" s="94" t="s">
        <v>193</v>
      </c>
    </row>
    <row r="25" spans="1:15" s="60" customFormat="1" x14ac:dyDescent="0.25">
      <c r="A25" s="77">
        <v>23</v>
      </c>
      <c r="B25" s="51" t="s">
        <v>15</v>
      </c>
      <c r="C25" s="54" t="s">
        <v>89</v>
      </c>
      <c r="D25" s="61" t="s">
        <v>35</v>
      </c>
      <c r="E25" s="61"/>
      <c r="F25" s="57">
        <f t="shared" si="0"/>
        <v>4</v>
      </c>
      <c r="G25" s="58">
        <f t="shared" si="1"/>
        <v>3</v>
      </c>
      <c r="H25" s="62"/>
      <c r="I25" s="63"/>
      <c r="J25" s="63"/>
      <c r="K25" s="63" t="s">
        <v>136</v>
      </c>
      <c r="L25" s="63"/>
      <c r="M25" s="94" t="s">
        <v>206</v>
      </c>
    </row>
    <row r="26" spans="1:15" s="60" customFormat="1" ht="30" x14ac:dyDescent="0.25">
      <c r="A26" s="77">
        <v>24</v>
      </c>
      <c r="B26" s="51" t="s">
        <v>12</v>
      </c>
      <c r="C26" s="54" t="s">
        <v>93</v>
      </c>
      <c r="D26" s="61" t="s">
        <v>36</v>
      </c>
      <c r="E26" s="61"/>
      <c r="F26" s="57">
        <f t="shared" si="0"/>
        <v>4</v>
      </c>
      <c r="G26" s="58">
        <f t="shared" si="1"/>
        <v>3</v>
      </c>
      <c r="H26" s="62"/>
      <c r="I26" s="63"/>
      <c r="J26" s="63"/>
      <c r="K26" s="63" t="s">
        <v>136</v>
      </c>
      <c r="L26" s="63"/>
      <c r="M26" s="94" t="s">
        <v>194</v>
      </c>
    </row>
    <row r="27" spans="1:15" s="60" customFormat="1" ht="30" x14ac:dyDescent="0.25">
      <c r="A27" s="77">
        <v>25</v>
      </c>
      <c r="B27" s="51" t="s">
        <v>4</v>
      </c>
      <c r="C27" s="54" t="s">
        <v>88</v>
      </c>
      <c r="D27" s="61" t="s">
        <v>33</v>
      </c>
      <c r="E27" s="61"/>
      <c r="F27" s="57">
        <f t="shared" si="0"/>
        <v>5</v>
      </c>
      <c r="G27" s="58">
        <f t="shared" si="1"/>
        <v>4</v>
      </c>
      <c r="H27" s="62"/>
      <c r="I27" s="63"/>
      <c r="J27" s="63"/>
      <c r="K27" s="63"/>
      <c r="L27" s="63" t="s">
        <v>136</v>
      </c>
      <c r="M27" s="94" t="s">
        <v>195</v>
      </c>
    </row>
    <row r="28" spans="1:15" s="60" customFormat="1" ht="30" x14ac:dyDescent="0.25">
      <c r="A28" s="77">
        <v>26</v>
      </c>
      <c r="B28" s="51" t="s">
        <v>7</v>
      </c>
      <c r="C28" s="54" t="s">
        <v>89</v>
      </c>
      <c r="D28" s="61" t="s">
        <v>35</v>
      </c>
      <c r="E28" s="61"/>
      <c r="F28" s="57">
        <f t="shared" si="0"/>
        <v>4</v>
      </c>
      <c r="G28" s="58">
        <f t="shared" si="1"/>
        <v>3</v>
      </c>
      <c r="H28" s="62"/>
      <c r="I28" s="63"/>
      <c r="J28" s="63"/>
      <c r="K28" s="63" t="s">
        <v>136</v>
      </c>
      <c r="L28" s="63"/>
      <c r="M28" s="94" t="s">
        <v>207</v>
      </c>
    </row>
    <row r="29" spans="1:15" s="60" customFormat="1" ht="30" x14ac:dyDescent="0.25">
      <c r="A29" s="77">
        <v>27</v>
      </c>
      <c r="B29" s="51" t="s">
        <v>103</v>
      </c>
      <c r="C29" s="54" t="s">
        <v>108</v>
      </c>
      <c r="D29" s="61" t="s">
        <v>109</v>
      </c>
      <c r="E29" s="61"/>
      <c r="F29" s="57">
        <f t="shared" si="0"/>
        <v>3</v>
      </c>
      <c r="G29" s="58">
        <f t="shared" si="1"/>
        <v>2</v>
      </c>
      <c r="H29" s="62"/>
      <c r="I29" s="63"/>
      <c r="J29" s="63" t="s">
        <v>136</v>
      </c>
      <c r="K29" s="63"/>
      <c r="L29" s="63"/>
      <c r="M29" s="94" t="s">
        <v>196</v>
      </c>
    </row>
    <row r="30" spans="1:15" s="60" customFormat="1" x14ac:dyDescent="0.25">
      <c r="A30" s="77">
        <v>28</v>
      </c>
      <c r="B30" s="51" t="s">
        <v>38</v>
      </c>
      <c r="C30" s="54" t="s">
        <v>90</v>
      </c>
      <c r="D30" s="61" t="s">
        <v>36</v>
      </c>
      <c r="E30" s="61"/>
      <c r="F30" s="57">
        <f t="shared" si="0"/>
        <v>5</v>
      </c>
      <c r="G30" s="58">
        <f t="shared" si="1"/>
        <v>4</v>
      </c>
      <c r="H30" s="62"/>
      <c r="I30" s="63"/>
      <c r="J30" s="63"/>
      <c r="K30" s="63"/>
      <c r="L30" s="63" t="s">
        <v>136</v>
      </c>
      <c r="M30" s="94" t="s">
        <v>197</v>
      </c>
    </row>
    <row r="31" spans="1:15" s="60" customFormat="1" x14ac:dyDescent="0.25">
      <c r="A31" s="77">
        <v>29</v>
      </c>
      <c r="B31" s="51" t="s">
        <v>23</v>
      </c>
      <c r="C31" s="54" t="s">
        <v>90</v>
      </c>
      <c r="D31" s="61" t="s">
        <v>40</v>
      </c>
      <c r="E31" s="61"/>
      <c r="F31" s="57">
        <f t="shared" si="0"/>
        <v>4</v>
      </c>
      <c r="G31" s="58">
        <f t="shared" si="1"/>
        <v>3</v>
      </c>
      <c r="H31" s="62"/>
      <c r="I31" s="63"/>
      <c r="J31" s="63"/>
      <c r="K31" s="63" t="s">
        <v>136</v>
      </c>
      <c r="L31" s="63"/>
      <c r="M31" s="94" t="s">
        <v>208</v>
      </c>
    </row>
    <row r="32" spans="1:15" s="60" customFormat="1" ht="30" x14ac:dyDescent="0.25">
      <c r="A32" s="77">
        <v>30</v>
      </c>
      <c r="B32" s="51" t="s">
        <v>18</v>
      </c>
      <c r="C32" s="54" t="s">
        <v>88</v>
      </c>
      <c r="D32" s="61" t="s">
        <v>39</v>
      </c>
      <c r="E32" s="61"/>
      <c r="F32" s="57">
        <f t="shared" si="0"/>
        <v>5</v>
      </c>
      <c r="G32" s="58">
        <f t="shared" si="1"/>
        <v>4</v>
      </c>
      <c r="H32" s="62"/>
      <c r="I32" s="63"/>
      <c r="J32" s="63"/>
      <c r="K32" s="63"/>
      <c r="L32" s="63" t="s">
        <v>136</v>
      </c>
      <c r="M32" s="94" t="s">
        <v>209</v>
      </c>
    </row>
    <row r="33" spans="1:13" s="60" customFormat="1" ht="30" x14ac:dyDescent="0.25">
      <c r="A33" s="77">
        <v>31</v>
      </c>
      <c r="B33" s="51" t="s">
        <v>104</v>
      </c>
      <c r="C33" s="54" t="s">
        <v>108</v>
      </c>
      <c r="D33" s="61" t="s">
        <v>109</v>
      </c>
      <c r="E33" s="61"/>
      <c r="F33" s="57">
        <f t="shared" si="0"/>
        <v>5</v>
      </c>
      <c r="G33" s="58">
        <f t="shared" si="1"/>
        <v>4</v>
      </c>
      <c r="H33" s="62"/>
      <c r="I33" s="63"/>
      <c r="J33" s="63"/>
      <c r="K33" s="63"/>
      <c r="L33" s="63" t="s">
        <v>136</v>
      </c>
      <c r="M33" s="94" t="s">
        <v>210</v>
      </c>
    </row>
    <row r="34" spans="1:13" s="60" customFormat="1" x14ac:dyDescent="0.25">
      <c r="A34" s="77">
        <v>32</v>
      </c>
      <c r="B34" s="51" t="s">
        <v>8</v>
      </c>
      <c r="C34" s="54" t="s">
        <v>93</v>
      </c>
      <c r="D34" s="61" t="s">
        <v>35</v>
      </c>
      <c r="E34" s="61"/>
      <c r="F34" s="57">
        <f t="shared" si="0"/>
        <v>4</v>
      </c>
      <c r="G34" s="58">
        <f t="shared" si="1"/>
        <v>3</v>
      </c>
      <c r="H34" s="62"/>
      <c r="I34" s="63"/>
      <c r="J34" s="63"/>
      <c r="K34" s="63" t="s">
        <v>136</v>
      </c>
      <c r="L34" s="63"/>
      <c r="M34" s="94" t="s">
        <v>198</v>
      </c>
    </row>
    <row r="35" spans="1:13" s="60" customFormat="1" ht="30" x14ac:dyDescent="0.25">
      <c r="A35" s="77">
        <v>33</v>
      </c>
      <c r="B35" s="51" t="s">
        <v>26</v>
      </c>
      <c r="C35" s="54" t="s">
        <v>90</v>
      </c>
      <c r="D35" s="61" t="s">
        <v>37</v>
      </c>
      <c r="E35" s="61"/>
      <c r="F35" s="57">
        <f t="shared" si="0"/>
        <v>4</v>
      </c>
      <c r="G35" s="58">
        <f t="shared" si="1"/>
        <v>3</v>
      </c>
      <c r="H35" s="62"/>
      <c r="I35" s="63"/>
      <c r="J35" s="63"/>
      <c r="K35" s="63" t="s">
        <v>136</v>
      </c>
      <c r="L35" s="63"/>
      <c r="M35" s="94" t="s">
        <v>199</v>
      </c>
    </row>
    <row r="36" spans="1:13" s="60" customFormat="1" ht="30" x14ac:dyDescent="0.25">
      <c r="A36" s="77">
        <v>34</v>
      </c>
      <c r="B36" s="51" t="s">
        <v>106</v>
      </c>
      <c r="C36" s="54" t="s">
        <v>108</v>
      </c>
      <c r="D36" s="61" t="s">
        <v>109</v>
      </c>
      <c r="E36" s="61"/>
      <c r="F36" s="57">
        <f t="shared" si="0"/>
        <v>5</v>
      </c>
      <c r="G36" s="58">
        <f t="shared" si="1"/>
        <v>4</v>
      </c>
      <c r="H36" s="62"/>
      <c r="I36" s="63"/>
      <c r="J36" s="63"/>
      <c r="K36" s="63"/>
      <c r="L36" s="63" t="s">
        <v>136</v>
      </c>
      <c r="M36" s="94" t="s">
        <v>200</v>
      </c>
    </row>
    <row r="37" spans="1:13" s="60" customFormat="1" ht="30" x14ac:dyDescent="0.25">
      <c r="A37" s="77">
        <v>35</v>
      </c>
      <c r="B37" s="51" t="s">
        <v>21</v>
      </c>
      <c r="C37" s="54" t="s">
        <v>90</v>
      </c>
      <c r="D37" s="61" t="s">
        <v>37</v>
      </c>
      <c r="E37" s="61"/>
      <c r="F37" s="57">
        <f t="shared" si="0"/>
        <v>5</v>
      </c>
      <c r="G37" s="58">
        <f t="shared" si="1"/>
        <v>4</v>
      </c>
      <c r="H37" s="62"/>
      <c r="I37" s="63"/>
      <c r="J37" s="63"/>
      <c r="K37" s="63"/>
      <c r="L37" s="63" t="s">
        <v>136</v>
      </c>
      <c r="M37" s="94" t="s">
        <v>211</v>
      </c>
    </row>
    <row r="38" spans="1:13" s="60" customFormat="1" ht="45" x14ac:dyDescent="0.25">
      <c r="A38" s="77">
        <v>36</v>
      </c>
      <c r="B38" s="51" t="s">
        <v>5</v>
      </c>
      <c r="C38" s="54" t="s">
        <v>88</v>
      </c>
      <c r="D38" s="61" t="s">
        <v>33</v>
      </c>
      <c r="E38" s="61"/>
      <c r="F38" s="57">
        <f t="shared" si="0"/>
        <v>5</v>
      </c>
      <c r="G38" s="58">
        <f t="shared" si="1"/>
        <v>4</v>
      </c>
      <c r="H38" s="62"/>
      <c r="I38" s="63"/>
      <c r="J38" s="63"/>
      <c r="K38" s="63"/>
      <c r="L38" s="63" t="s">
        <v>136</v>
      </c>
      <c r="M38" s="94" t="s">
        <v>203</v>
      </c>
    </row>
    <row r="39" spans="1:13" s="60" customFormat="1" ht="30" x14ac:dyDescent="0.25">
      <c r="A39" s="77">
        <v>37</v>
      </c>
      <c r="B39" s="51" t="s">
        <v>22</v>
      </c>
      <c r="C39" s="54" t="s">
        <v>91</v>
      </c>
      <c r="D39" s="61" t="s">
        <v>37</v>
      </c>
      <c r="E39" s="61"/>
      <c r="F39" s="57">
        <f t="shared" si="0"/>
        <v>4</v>
      </c>
      <c r="G39" s="58">
        <f t="shared" si="1"/>
        <v>3</v>
      </c>
      <c r="H39" s="62"/>
      <c r="I39" s="63"/>
      <c r="J39" s="63"/>
      <c r="K39" s="63" t="s">
        <v>136</v>
      </c>
      <c r="L39" s="63"/>
      <c r="M39" s="94" t="s">
        <v>201</v>
      </c>
    </row>
    <row r="40" spans="1:13" s="60" customFormat="1" ht="45" x14ac:dyDescent="0.25">
      <c r="A40" s="77">
        <v>38</v>
      </c>
      <c r="B40" s="51" t="s">
        <v>25</v>
      </c>
      <c r="C40" s="54" t="s">
        <v>91</v>
      </c>
      <c r="D40" s="61" t="s">
        <v>34</v>
      </c>
      <c r="E40" s="61"/>
      <c r="F40" s="57">
        <f t="shared" si="0"/>
        <v>3</v>
      </c>
      <c r="G40" s="58">
        <f t="shared" si="1"/>
        <v>2</v>
      </c>
      <c r="H40" s="62"/>
      <c r="I40" s="63"/>
      <c r="J40" s="63" t="s">
        <v>136</v>
      </c>
      <c r="K40" s="63"/>
      <c r="L40" s="63"/>
      <c r="M40" s="94" t="s">
        <v>204</v>
      </c>
    </row>
    <row r="41" spans="1:13" s="60" customFormat="1" ht="30.75" thickBot="1" x14ac:dyDescent="0.3">
      <c r="A41" s="77">
        <v>39</v>
      </c>
      <c r="B41" s="73" t="s">
        <v>17</v>
      </c>
      <c r="C41" s="55" t="s">
        <v>90</v>
      </c>
      <c r="D41" s="64" t="s">
        <v>37</v>
      </c>
      <c r="E41" s="64"/>
      <c r="F41" s="57">
        <f t="shared" si="0"/>
        <v>4</v>
      </c>
      <c r="G41" s="58">
        <f t="shared" si="1"/>
        <v>3</v>
      </c>
      <c r="H41" s="65"/>
      <c r="I41" s="66"/>
      <c r="J41" s="66"/>
      <c r="K41" s="66" t="s">
        <v>136</v>
      </c>
      <c r="L41" s="66"/>
      <c r="M41" s="95" t="s">
        <v>212</v>
      </c>
    </row>
    <row r="43" spans="1:13" x14ac:dyDescent="0.25">
      <c r="B43" s="53" t="s">
        <v>99</v>
      </c>
    </row>
    <row r="44" spans="1:13" x14ac:dyDescent="0.25">
      <c r="B44" s="72" t="s">
        <v>100</v>
      </c>
    </row>
  </sheetData>
  <hyperlinks>
    <hyperlink ref="B44" r:id="rId1" xr:uid="{3F0A1A57-52EC-49FB-817D-58664CF52F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E617-57B0-406E-88B8-2FE5F8D1325F}">
  <dimension ref="A1:O44"/>
  <sheetViews>
    <sheetView tabSelected="1" zoomScale="130" zoomScaleNormal="130" workbookViewId="0">
      <selection activeCell="O6" sqref="O6"/>
    </sheetView>
  </sheetViews>
  <sheetFormatPr defaultRowHeight="15" x14ac:dyDescent="0.25"/>
  <cols>
    <col min="1" max="1" width="4.42578125" style="76" customWidth="1"/>
    <col min="2" max="2" width="45.5703125" style="52" customWidth="1"/>
    <col min="3" max="3" width="8.140625" hidden="1" customWidth="1"/>
    <col min="4" max="4" width="5.140625" hidden="1" customWidth="1"/>
    <col min="5" max="5" width="1" hidden="1" customWidth="1"/>
    <col min="6" max="6" width="4.42578125" hidden="1" customWidth="1"/>
    <col min="7" max="7" width="4.5703125" hidden="1" customWidth="1"/>
    <col min="8" max="12" width="4.5703125" customWidth="1"/>
    <col min="13" max="13" width="103.7109375" customWidth="1"/>
    <col min="14" max="14" width="4.42578125" customWidth="1"/>
    <col min="15" max="15" width="58.85546875" customWidth="1"/>
  </cols>
  <sheetData>
    <row r="1" spans="1:15" x14ac:dyDescent="0.25">
      <c r="A1" s="74"/>
      <c r="B1" s="49" t="s">
        <v>43</v>
      </c>
      <c r="C1" s="4"/>
      <c r="D1" s="4" t="s">
        <v>32</v>
      </c>
      <c r="E1" s="4"/>
      <c r="F1" s="4"/>
      <c r="G1" s="2">
        <v>0</v>
      </c>
      <c r="H1" s="2">
        <v>0</v>
      </c>
      <c r="I1" s="2">
        <v>1</v>
      </c>
      <c r="J1" s="2">
        <v>2</v>
      </c>
      <c r="K1" s="2">
        <v>3</v>
      </c>
      <c r="L1" s="2">
        <v>4</v>
      </c>
      <c r="M1" s="46" t="s">
        <v>86</v>
      </c>
    </row>
    <row r="2" spans="1:15" ht="288.75" thickBot="1" x14ac:dyDescent="0.3">
      <c r="A2" s="75"/>
      <c r="B2" s="90" t="s">
        <v>119</v>
      </c>
      <c r="C2" s="5"/>
      <c r="D2" s="5"/>
      <c r="E2" s="5"/>
      <c r="F2" s="6"/>
      <c r="G2" s="70"/>
      <c r="H2" s="70" t="s">
        <v>126</v>
      </c>
      <c r="I2" s="70" t="s">
        <v>127</v>
      </c>
      <c r="J2" s="71" t="s">
        <v>128</v>
      </c>
      <c r="K2" s="71" t="s">
        <v>129</v>
      </c>
      <c r="L2" s="71" t="s">
        <v>130</v>
      </c>
      <c r="M2" s="90" t="s">
        <v>120</v>
      </c>
      <c r="O2" t="s">
        <v>41</v>
      </c>
    </row>
    <row r="3" spans="1:15" s="60" customFormat="1" x14ac:dyDescent="0.25">
      <c r="A3" s="77">
        <v>1</v>
      </c>
      <c r="B3" s="51" t="s">
        <v>31</v>
      </c>
      <c r="C3" s="53" t="s">
        <v>91</v>
      </c>
      <c r="D3" s="56" t="s">
        <v>40</v>
      </c>
      <c r="E3" s="56"/>
      <c r="F3" s="57">
        <f>IF(ISNA(MATCH("x",$H3:$L3,0)),0,MATCH("x",$H3:$L3,0))</f>
        <v>4</v>
      </c>
      <c r="G3" s="58">
        <f>IF(F3=0,0,F3-1)</f>
        <v>3</v>
      </c>
      <c r="H3" s="58"/>
      <c r="I3" s="59"/>
      <c r="J3" s="59"/>
      <c r="K3" s="59" t="s">
        <v>136</v>
      </c>
      <c r="L3" s="59"/>
      <c r="M3" s="93" t="s">
        <v>219</v>
      </c>
    </row>
    <row r="4" spans="1:15" s="60" customFormat="1" ht="30" x14ac:dyDescent="0.25">
      <c r="A4" s="77">
        <v>2</v>
      </c>
      <c r="B4" s="51" t="s">
        <v>2</v>
      </c>
      <c r="C4" s="53" t="s">
        <v>88</v>
      </c>
      <c r="D4" s="56" t="s">
        <v>33</v>
      </c>
      <c r="E4" s="56"/>
      <c r="F4" s="57">
        <f t="shared" ref="F4:F41" si="0">IF(ISNA(MATCH("x",$H4:$L4,0)),0,MATCH("x",$H4:$L4,0))</f>
        <v>4</v>
      </c>
      <c r="G4" s="58">
        <f t="shared" ref="G4:G41" si="1">IF(F4=0,0,F4-1)</f>
        <v>3</v>
      </c>
      <c r="H4" s="58"/>
      <c r="I4" s="59"/>
      <c r="J4" s="59"/>
      <c r="K4" s="59" t="s">
        <v>136</v>
      </c>
      <c r="L4" s="59"/>
      <c r="M4" s="93" t="s">
        <v>220</v>
      </c>
    </row>
    <row r="5" spans="1:15" s="60" customFormat="1" x14ac:dyDescent="0.25">
      <c r="A5" s="77">
        <v>3</v>
      </c>
      <c r="B5" s="51" t="s">
        <v>6</v>
      </c>
      <c r="C5" s="53" t="s">
        <v>88</v>
      </c>
      <c r="D5" s="56" t="s">
        <v>34</v>
      </c>
      <c r="E5" s="56"/>
      <c r="F5" s="57">
        <f t="shared" si="0"/>
        <v>3</v>
      </c>
      <c r="G5" s="58">
        <f t="shared" si="1"/>
        <v>2</v>
      </c>
      <c r="H5" s="58"/>
      <c r="I5" s="59"/>
      <c r="J5" s="59" t="s">
        <v>136</v>
      </c>
      <c r="K5" s="59"/>
      <c r="L5" s="59"/>
      <c r="M5" s="93" t="s">
        <v>221</v>
      </c>
    </row>
    <row r="6" spans="1:15" s="60" customFormat="1" ht="30" x14ac:dyDescent="0.25">
      <c r="A6" s="77">
        <v>4</v>
      </c>
      <c r="B6" s="51" t="s">
        <v>16</v>
      </c>
      <c r="C6" s="53" t="s">
        <v>90</v>
      </c>
      <c r="D6" s="56" t="s">
        <v>37</v>
      </c>
      <c r="E6" s="56"/>
      <c r="F6" s="57">
        <f t="shared" si="0"/>
        <v>3</v>
      </c>
      <c r="G6" s="58">
        <f t="shared" si="1"/>
        <v>2</v>
      </c>
      <c r="H6" s="58"/>
      <c r="I6" s="59"/>
      <c r="J6" s="59" t="s">
        <v>136</v>
      </c>
      <c r="K6" s="59"/>
      <c r="L6" s="59"/>
      <c r="M6" s="93" t="s">
        <v>222</v>
      </c>
    </row>
    <row r="7" spans="1:15" s="60" customFormat="1" ht="30" x14ac:dyDescent="0.25">
      <c r="A7" s="77">
        <v>5</v>
      </c>
      <c r="B7" s="51" t="s">
        <v>20</v>
      </c>
      <c r="C7" s="53" t="s">
        <v>90</v>
      </c>
      <c r="D7" s="56" t="s">
        <v>35</v>
      </c>
      <c r="E7" s="56"/>
      <c r="F7" s="57">
        <f t="shared" si="0"/>
        <v>3</v>
      </c>
      <c r="G7" s="58">
        <f t="shared" si="1"/>
        <v>2</v>
      </c>
      <c r="H7" s="58"/>
      <c r="I7" s="59"/>
      <c r="J7" s="59" t="s">
        <v>136</v>
      </c>
      <c r="K7" s="59"/>
      <c r="L7" s="59"/>
      <c r="M7" s="93" t="s">
        <v>223</v>
      </c>
    </row>
    <row r="8" spans="1:15" s="60" customFormat="1" x14ac:dyDescent="0.25">
      <c r="A8" s="77">
        <v>6</v>
      </c>
      <c r="B8" s="51" t="s">
        <v>29</v>
      </c>
      <c r="C8" s="53" t="s">
        <v>90</v>
      </c>
      <c r="D8" s="56" t="s">
        <v>39</v>
      </c>
      <c r="E8" s="56"/>
      <c r="F8" s="57">
        <f t="shared" si="0"/>
        <v>4</v>
      </c>
      <c r="G8" s="58">
        <f t="shared" si="1"/>
        <v>3</v>
      </c>
      <c r="H8" s="58"/>
      <c r="I8" s="59"/>
      <c r="J8" s="59"/>
      <c r="K8" s="59" t="s">
        <v>136</v>
      </c>
      <c r="L8" s="59"/>
      <c r="M8" s="93" t="s">
        <v>224</v>
      </c>
    </row>
    <row r="9" spans="1:15" s="60" customFormat="1" x14ac:dyDescent="0.25">
      <c r="A9" s="77">
        <v>7</v>
      </c>
      <c r="B9" s="51" t="s">
        <v>27</v>
      </c>
      <c r="C9" s="53" t="s">
        <v>90</v>
      </c>
      <c r="D9" s="56" t="s">
        <v>39</v>
      </c>
      <c r="E9" s="56"/>
      <c r="F9" s="57">
        <f t="shared" si="0"/>
        <v>4</v>
      </c>
      <c r="G9" s="58">
        <f t="shared" si="1"/>
        <v>3</v>
      </c>
      <c r="H9" s="58"/>
      <c r="I9" s="59"/>
      <c r="J9" s="59"/>
      <c r="K9" s="59" t="s">
        <v>136</v>
      </c>
      <c r="L9" s="59"/>
      <c r="M9" s="93" t="s">
        <v>225</v>
      </c>
    </row>
    <row r="10" spans="1:15" s="60" customFormat="1" ht="30" x14ac:dyDescent="0.25">
      <c r="A10" s="77">
        <v>8</v>
      </c>
      <c r="B10" s="51" t="s">
        <v>13</v>
      </c>
      <c r="C10" s="53" t="s">
        <v>90</v>
      </c>
      <c r="D10" s="56" t="s">
        <v>36</v>
      </c>
      <c r="E10" s="56"/>
      <c r="F10" s="57">
        <f t="shared" si="0"/>
        <v>4</v>
      </c>
      <c r="G10" s="58">
        <f t="shared" si="1"/>
        <v>3</v>
      </c>
      <c r="H10" s="58"/>
      <c r="I10" s="59"/>
      <c r="J10" s="59"/>
      <c r="K10" s="59" t="s">
        <v>136</v>
      </c>
      <c r="L10" s="59"/>
      <c r="M10" s="93" t="s">
        <v>226</v>
      </c>
    </row>
    <row r="11" spans="1:15" s="60" customFormat="1" ht="30" x14ac:dyDescent="0.25">
      <c r="A11" s="77">
        <v>9</v>
      </c>
      <c r="B11" s="51" t="s">
        <v>19</v>
      </c>
      <c r="C11" s="54" t="s">
        <v>90</v>
      </c>
      <c r="D11" s="56" t="s">
        <v>37</v>
      </c>
      <c r="E11" s="61"/>
      <c r="F11" s="57">
        <f t="shared" si="0"/>
        <v>3</v>
      </c>
      <c r="G11" s="58">
        <f t="shared" si="1"/>
        <v>2</v>
      </c>
      <c r="H11" s="62"/>
      <c r="I11" s="63"/>
      <c r="J11" s="63" t="s">
        <v>136</v>
      </c>
      <c r="K11" s="63"/>
      <c r="L11" s="63"/>
      <c r="M11" s="94" t="s">
        <v>227</v>
      </c>
      <c r="O11" s="60" t="s">
        <v>228</v>
      </c>
    </row>
    <row r="12" spans="1:15" s="60" customFormat="1" ht="30" x14ac:dyDescent="0.25">
      <c r="A12" s="77">
        <v>10</v>
      </c>
      <c r="B12" s="51" t="s">
        <v>101</v>
      </c>
      <c r="C12" s="54" t="s">
        <v>88</v>
      </c>
      <c r="D12" s="56" t="s">
        <v>109</v>
      </c>
      <c r="E12" s="61"/>
      <c r="F12" s="57">
        <f t="shared" si="0"/>
        <v>5</v>
      </c>
      <c r="G12" s="58">
        <f t="shared" si="1"/>
        <v>4</v>
      </c>
      <c r="H12" s="62"/>
      <c r="I12" s="63"/>
      <c r="J12" s="63"/>
      <c r="K12" s="63"/>
      <c r="L12" s="63" t="s">
        <v>136</v>
      </c>
      <c r="M12" s="94" t="s">
        <v>229</v>
      </c>
      <c r="O12" s="60" t="s">
        <v>230</v>
      </c>
    </row>
    <row r="13" spans="1:15" s="60" customFormat="1" ht="30" x14ac:dyDescent="0.25">
      <c r="A13" s="77">
        <v>11</v>
      </c>
      <c r="B13" s="51" t="s">
        <v>3</v>
      </c>
      <c r="C13" s="54" t="s">
        <v>92</v>
      </c>
      <c r="D13" s="56" t="s">
        <v>33</v>
      </c>
      <c r="E13" s="61"/>
      <c r="F13" s="57">
        <f t="shared" si="0"/>
        <v>4</v>
      </c>
      <c r="G13" s="58">
        <f t="shared" si="1"/>
        <v>3</v>
      </c>
      <c r="H13" s="62"/>
      <c r="I13" s="63"/>
      <c r="J13" s="63"/>
      <c r="K13" s="63" t="s">
        <v>136</v>
      </c>
      <c r="L13" s="63"/>
      <c r="M13" s="94" t="s">
        <v>231</v>
      </c>
      <c r="O13" s="60" t="s">
        <v>232</v>
      </c>
    </row>
    <row r="14" spans="1:15" s="60" customFormat="1" ht="30" x14ac:dyDescent="0.25">
      <c r="A14" s="77">
        <v>12</v>
      </c>
      <c r="B14" s="51" t="s">
        <v>11</v>
      </c>
      <c r="C14" s="54" t="s">
        <v>93</v>
      </c>
      <c r="D14" s="56" t="s">
        <v>35</v>
      </c>
      <c r="E14" s="61"/>
      <c r="F14" s="57">
        <f t="shared" si="0"/>
        <v>3</v>
      </c>
      <c r="G14" s="58">
        <f t="shared" si="1"/>
        <v>2</v>
      </c>
      <c r="H14" s="62"/>
      <c r="I14" s="63"/>
      <c r="J14" s="63" t="s">
        <v>136</v>
      </c>
      <c r="K14" s="63"/>
      <c r="L14" s="63"/>
      <c r="M14" s="94" t="s">
        <v>233</v>
      </c>
      <c r="O14" s="60" t="s">
        <v>234</v>
      </c>
    </row>
    <row r="15" spans="1:15" s="60" customFormat="1" x14ac:dyDescent="0.25">
      <c r="A15" s="77">
        <v>13</v>
      </c>
      <c r="B15" s="51" t="s">
        <v>1</v>
      </c>
      <c r="C15" s="54" t="s">
        <v>91</v>
      </c>
      <c r="D15" s="61" t="s">
        <v>33</v>
      </c>
      <c r="E15" s="61"/>
      <c r="F15" s="57">
        <f t="shared" si="0"/>
        <v>4</v>
      </c>
      <c r="G15" s="58">
        <f t="shared" si="1"/>
        <v>3</v>
      </c>
      <c r="H15" s="62"/>
      <c r="I15" s="63"/>
      <c r="J15" s="63"/>
      <c r="K15" s="63" t="s">
        <v>136</v>
      </c>
      <c r="L15" s="63"/>
      <c r="M15" s="94" t="s">
        <v>235</v>
      </c>
    </row>
    <row r="16" spans="1:15" s="60" customFormat="1" ht="30" x14ac:dyDescent="0.25">
      <c r="A16" s="77">
        <v>14</v>
      </c>
      <c r="B16" s="51" t="s">
        <v>10</v>
      </c>
      <c r="C16" s="54" t="s">
        <v>89</v>
      </c>
      <c r="D16" s="61" t="s">
        <v>35</v>
      </c>
      <c r="E16" s="61"/>
      <c r="F16" s="57">
        <f t="shared" si="0"/>
        <v>0</v>
      </c>
      <c r="G16" s="58">
        <f t="shared" si="1"/>
        <v>0</v>
      </c>
      <c r="H16" s="62"/>
      <c r="I16" s="63"/>
      <c r="J16" s="63"/>
      <c r="K16" s="63"/>
      <c r="L16" s="63"/>
      <c r="M16" s="94" t="s">
        <v>236</v>
      </c>
    </row>
    <row r="17" spans="1:15" s="60" customFormat="1" ht="15.75" x14ac:dyDescent="0.25">
      <c r="A17" s="77">
        <v>15</v>
      </c>
      <c r="B17" s="51" t="s">
        <v>105</v>
      </c>
      <c r="C17" s="54" t="s">
        <v>108</v>
      </c>
      <c r="D17" s="61" t="s">
        <v>109</v>
      </c>
      <c r="E17" s="61"/>
      <c r="F17" s="57">
        <f t="shared" si="0"/>
        <v>4</v>
      </c>
      <c r="G17" s="58">
        <f t="shared" si="1"/>
        <v>3</v>
      </c>
      <c r="H17" s="62"/>
      <c r="I17" s="63"/>
      <c r="J17" s="63"/>
      <c r="K17" s="63" t="s">
        <v>136</v>
      </c>
      <c r="L17" s="63"/>
      <c r="M17" s="94" t="s">
        <v>237</v>
      </c>
      <c r="O17" s="69"/>
    </row>
    <row r="18" spans="1:15" s="60" customFormat="1" ht="30" x14ac:dyDescent="0.25">
      <c r="A18" s="77">
        <v>16</v>
      </c>
      <c r="B18" s="51" t="s">
        <v>30</v>
      </c>
      <c r="C18" s="54" t="s">
        <v>90</v>
      </c>
      <c r="D18" s="61" t="s">
        <v>40</v>
      </c>
      <c r="E18" s="61"/>
      <c r="F18" s="57">
        <f t="shared" si="0"/>
        <v>3</v>
      </c>
      <c r="G18" s="58">
        <f t="shared" si="1"/>
        <v>2</v>
      </c>
      <c r="H18" s="62"/>
      <c r="I18" s="63"/>
      <c r="J18" s="63" t="s">
        <v>136</v>
      </c>
      <c r="K18" s="63"/>
      <c r="L18" s="63"/>
      <c r="M18" s="94" t="s">
        <v>238</v>
      </c>
    </row>
    <row r="19" spans="1:15" s="60" customFormat="1" ht="30" x14ac:dyDescent="0.25">
      <c r="A19" s="77">
        <v>17</v>
      </c>
      <c r="B19" s="51" t="s">
        <v>14</v>
      </c>
      <c r="C19" s="54" t="s">
        <v>92</v>
      </c>
      <c r="D19" s="61" t="s">
        <v>36</v>
      </c>
      <c r="E19" s="61"/>
      <c r="F19" s="57">
        <f t="shared" si="0"/>
        <v>2</v>
      </c>
      <c r="G19" s="58">
        <f t="shared" si="1"/>
        <v>1</v>
      </c>
      <c r="H19" s="62"/>
      <c r="I19" s="63" t="s">
        <v>136</v>
      </c>
      <c r="J19" s="63"/>
      <c r="K19" s="63"/>
      <c r="L19" s="63"/>
      <c r="M19" s="94" t="s">
        <v>239</v>
      </c>
    </row>
    <row r="20" spans="1:15" s="60" customFormat="1" x14ac:dyDescent="0.25">
      <c r="A20" s="77">
        <v>18</v>
      </c>
      <c r="B20" s="51" t="s">
        <v>102</v>
      </c>
      <c r="C20" s="54" t="s">
        <v>88</v>
      </c>
      <c r="D20" s="61" t="s">
        <v>109</v>
      </c>
      <c r="E20" s="61"/>
      <c r="F20" s="57">
        <f t="shared" si="0"/>
        <v>4</v>
      </c>
      <c r="G20" s="58">
        <f t="shared" si="1"/>
        <v>3</v>
      </c>
      <c r="H20" s="62"/>
      <c r="I20" s="63"/>
      <c r="J20" s="63"/>
      <c r="K20" s="63" t="s">
        <v>136</v>
      </c>
      <c r="L20" s="63"/>
      <c r="M20" s="94" t="s">
        <v>240</v>
      </c>
    </row>
    <row r="21" spans="1:15" s="60" customFormat="1" ht="30" x14ac:dyDescent="0.25">
      <c r="A21" s="77">
        <v>19</v>
      </c>
      <c r="B21" s="51" t="s">
        <v>9</v>
      </c>
      <c r="C21" s="54" t="s">
        <v>89</v>
      </c>
      <c r="D21" s="61" t="s">
        <v>35</v>
      </c>
      <c r="E21" s="61"/>
      <c r="F21" s="57">
        <f t="shared" si="0"/>
        <v>3</v>
      </c>
      <c r="G21" s="58">
        <f t="shared" si="1"/>
        <v>2</v>
      </c>
      <c r="H21" s="62"/>
      <c r="I21" s="63"/>
      <c r="J21" s="63" t="s">
        <v>136</v>
      </c>
      <c r="K21" s="63"/>
      <c r="L21" s="63"/>
      <c r="M21" s="94" t="s">
        <v>241</v>
      </c>
    </row>
    <row r="22" spans="1:15" s="60" customFormat="1" ht="30" x14ac:dyDescent="0.25">
      <c r="A22" s="77">
        <v>20</v>
      </c>
      <c r="B22" s="51" t="s">
        <v>28</v>
      </c>
      <c r="C22" s="54" t="s">
        <v>89</v>
      </c>
      <c r="D22" s="61" t="s">
        <v>39</v>
      </c>
      <c r="E22" s="61"/>
      <c r="F22" s="57">
        <f t="shared" si="0"/>
        <v>2</v>
      </c>
      <c r="G22" s="58">
        <f t="shared" si="1"/>
        <v>1</v>
      </c>
      <c r="H22" s="62"/>
      <c r="I22" s="63" t="s">
        <v>136</v>
      </c>
      <c r="J22" s="63"/>
      <c r="K22" s="63"/>
      <c r="L22" s="63"/>
      <c r="M22" s="94" t="s">
        <v>242</v>
      </c>
    </row>
    <row r="23" spans="1:15" s="60" customFormat="1" x14ac:dyDescent="0.25">
      <c r="A23" s="77">
        <v>21</v>
      </c>
      <c r="B23" s="51" t="s">
        <v>107</v>
      </c>
      <c r="C23" s="54" t="s">
        <v>108</v>
      </c>
      <c r="D23" s="61" t="s">
        <v>109</v>
      </c>
      <c r="E23" s="61"/>
      <c r="F23" s="57">
        <f t="shared" si="0"/>
        <v>5</v>
      </c>
      <c r="G23" s="58">
        <f t="shared" si="1"/>
        <v>4</v>
      </c>
      <c r="H23" s="62"/>
      <c r="I23" s="63"/>
      <c r="J23" s="63"/>
      <c r="K23" s="63"/>
      <c r="L23" s="63" t="s">
        <v>136</v>
      </c>
      <c r="M23" s="94" t="s">
        <v>243</v>
      </c>
    </row>
    <row r="24" spans="1:15" s="60" customFormat="1" x14ac:dyDescent="0.25">
      <c r="A24" s="77">
        <v>22</v>
      </c>
      <c r="B24" s="51" t="s">
        <v>24</v>
      </c>
      <c r="C24" s="54" t="s">
        <v>91</v>
      </c>
      <c r="D24" s="61" t="s">
        <v>37</v>
      </c>
      <c r="E24" s="61"/>
      <c r="F24" s="57">
        <f t="shared" si="0"/>
        <v>3</v>
      </c>
      <c r="G24" s="58">
        <f t="shared" si="1"/>
        <v>2</v>
      </c>
      <c r="H24" s="62"/>
      <c r="I24" s="63"/>
      <c r="J24" s="63" t="s">
        <v>136</v>
      </c>
      <c r="K24" s="63"/>
      <c r="L24" s="63"/>
      <c r="M24" s="94" t="s">
        <v>244</v>
      </c>
    </row>
    <row r="25" spans="1:15" s="60" customFormat="1" x14ac:dyDescent="0.25">
      <c r="A25" s="77">
        <v>23</v>
      </c>
      <c r="B25" s="51" t="s">
        <v>15</v>
      </c>
      <c r="C25" s="54" t="s">
        <v>89</v>
      </c>
      <c r="D25" s="61" t="s">
        <v>35</v>
      </c>
      <c r="E25" s="61"/>
      <c r="F25" s="57">
        <f t="shared" si="0"/>
        <v>3</v>
      </c>
      <c r="G25" s="58">
        <f t="shared" si="1"/>
        <v>2</v>
      </c>
      <c r="H25" s="62"/>
      <c r="I25" s="63"/>
      <c r="J25" s="63" t="s">
        <v>136</v>
      </c>
      <c r="K25" s="63"/>
      <c r="L25" s="63"/>
      <c r="M25" s="94" t="s">
        <v>245</v>
      </c>
    </row>
    <row r="26" spans="1:15" s="60" customFormat="1" ht="30" x14ac:dyDescent="0.25">
      <c r="A26" s="77">
        <v>24</v>
      </c>
      <c r="B26" s="51" t="s">
        <v>12</v>
      </c>
      <c r="C26" s="54" t="s">
        <v>93</v>
      </c>
      <c r="D26" s="61" t="s">
        <v>36</v>
      </c>
      <c r="E26" s="61"/>
      <c r="F26" s="57">
        <f t="shared" si="0"/>
        <v>4</v>
      </c>
      <c r="G26" s="58">
        <f t="shared" si="1"/>
        <v>3</v>
      </c>
      <c r="H26" s="62"/>
      <c r="I26" s="63"/>
      <c r="J26" s="63"/>
      <c r="K26" s="63" t="s">
        <v>136</v>
      </c>
      <c r="L26" s="63"/>
      <c r="M26" s="94" t="s">
        <v>246</v>
      </c>
    </row>
    <row r="27" spans="1:15" s="60" customFormat="1" x14ac:dyDescent="0.25">
      <c r="A27" s="77">
        <v>25</v>
      </c>
      <c r="B27" s="51" t="s">
        <v>4</v>
      </c>
      <c r="C27" s="54" t="s">
        <v>88</v>
      </c>
      <c r="D27" s="61" t="s">
        <v>33</v>
      </c>
      <c r="E27" s="61"/>
      <c r="F27" s="57">
        <f t="shared" si="0"/>
        <v>4</v>
      </c>
      <c r="G27" s="58">
        <f t="shared" si="1"/>
        <v>3</v>
      </c>
      <c r="H27" s="62"/>
      <c r="I27" s="63"/>
      <c r="J27" s="63"/>
      <c r="K27" s="63" t="s">
        <v>136</v>
      </c>
      <c r="L27" s="63"/>
      <c r="M27" s="94" t="s">
        <v>247</v>
      </c>
    </row>
    <row r="28" spans="1:15" s="60" customFormat="1" ht="30" x14ac:dyDescent="0.25">
      <c r="A28" s="77">
        <v>26</v>
      </c>
      <c r="B28" s="51" t="s">
        <v>7</v>
      </c>
      <c r="C28" s="54" t="s">
        <v>89</v>
      </c>
      <c r="D28" s="61" t="s">
        <v>35</v>
      </c>
      <c r="E28" s="61"/>
      <c r="F28" s="57">
        <f t="shared" si="0"/>
        <v>4</v>
      </c>
      <c r="G28" s="58">
        <f t="shared" si="1"/>
        <v>3</v>
      </c>
      <c r="H28" s="62"/>
      <c r="I28" s="63"/>
      <c r="J28" s="63"/>
      <c r="K28" s="63" t="s">
        <v>136</v>
      </c>
      <c r="L28" s="63"/>
      <c r="M28" s="94" t="s">
        <v>213</v>
      </c>
    </row>
    <row r="29" spans="1:15" s="60" customFormat="1" x14ac:dyDescent="0.25">
      <c r="A29" s="77">
        <v>27</v>
      </c>
      <c r="B29" s="51" t="s">
        <v>103</v>
      </c>
      <c r="C29" s="54" t="s">
        <v>108</v>
      </c>
      <c r="D29" s="61" t="s">
        <v>109</v>
      </c>
      <c r="E29" s="61"/>
      <c r="F29" s="57">
        <f t="shared" si="0"/>
        <v>4</v>
      </c>
      <c r="G29" s="58">
        <f t="shared" si="1"/>
        <v>3</v>
      </c>
      <c r="H29" s="62"/>
      <c r="I29" s="63"/>
      <c r="J29" s="63"/>
      <c r="K29" s="63" t="s">
        <v>136</v>
      </c>
      <c r="L29" s="63"/>
      <c r="M29" s="94" t="s">
        <v>214</v>
      </c>
    </row>
    <row r="30" spans="1:15" s="60" customFormat="1" ht="30" x14ac:dyDescent="0.25">
      <c r="A30" s="77">
        <v>28</v>
      </c>
      <c r="B30" s="51" t="s">
        <v>38</v>
      </c>
      <c r="C30" s="54" t="s">
        <v>90</v>
      </c>
      <c r="D30" s="61" t="s">
        <v>36</v>
      </c>
      <c r="E30" s="61"/>
      <c r="F30" s="57">
        <f t="shared" si="0"/>
        <v>5</v>
      </c>
      <c r="G30" s="58">
        <f t="shared" si="1"/>
        <v>4</v>
      </c>
      <c r="H30" s="62"/>
      <c r="I30" s="63"/>
      <c r="J30" s="63"/>
      <c r="K30" s="63"/>
      <c r="L30" s="63" t="s">
        <v>136</v>
      </c>
      <c r="M30" s="94" t="s">
        <v>248</v>
      </c>
    </row>
    <row r="31" spans="1:15" s="60" customFormat="1" x14ac:dyDescent="0.25">
      <c r="A31" s="77">
        <v>29</v>
      </c>
      <c r="B31" s="51" t="s">
        <v>23</v>
      </c>
      <c r="C31" s="54" t="s">
        <v>90</v>
      </c>
      <c r="D31" s="61" t="s">
        <v>40</v>
      </c>
      <c r="E31" s="61"/>
      <c r="F31" s="57">
        <f t="shared" si="0"/>
        <v>3</v>
      </c>
      <c r="G31" s="58">
        <f t="shared" si="1"/>
        <v>2</v>
      </c>
      <c r="H31" s="62"/>
      <c r="I31" s="63"/>
      <c r="J31" s="63" t="s">
        <v>136</v>
      </c>
      <c r="K31" s="63"/>
      <c r="L31" s="63"/>
      <c r="M31" s="94" t="s">
        <v>249</v>
      </c>
    </row>
    <row r="32" spans="1:15" s="60" customFormat="1" x14ac:dyDescent="0.25">
      <c r="A32" s="77">
        <v>30</v>
      </c>
      <c r="B32" s="51" t="s">
        <v>18</v>
      </c>
      <c r="C32" s="54" t="s">
        <v>88</v>
      </c>
      <c r="D32" s="61" t="s">
        <v>39</v>
      </c>
      <c r="E32" s="61"/>
      <c r="F32" s="57">
        <f t="shared" si="0"/>
        <v>4</v>
      </c>
      <c r="G32" s="58">
        <f t="shared" si="1"/>
        <v>3</v>
      </c>
      <c r="H32" s="62"/>
      <c r="I32" s="63"/>
      <c r="J32" s="63"/>
      <c r="K32" s="63" t="s">
        <v>136</v>
      </c>
      <c r="L32" s="63"/>
      <c r="M32" s="94" t="s">
        <v>250</v>
      </c>
    </row>
    <row r="33" spans="1:13" s="60" customFormat="1" ht="30" x14ac:dyDescent="0.25">
      <c r="A33" s="77">
        <v>31</v>
      </c>
      <c r="B33" s="51" t="s">
        <v>104</v>
      </c>
      <c r="C33" s="54" t="s">
        <v>108</v>
      </c>
      <c r="D33" s="61" t="s">
        <v>109</v>
      </c>
      <c r="E33" s="61"/>
      <c r="F33" s="57">
        <f t="shared" si="0"/>
        <v>4</v>
      </c>
      <c r="G33" s="58">
        <f t="shared" si="1"/>
        <v>3</v>
      </c>
      <c r="H33" s="62"/>
      <c r="I33" s="63"/>
      <c r="J33" s="63"/>
      <c r="K33" s="63" t="s">
        <v>136</v>
      </c>
      <c r="L33" s="63"/>
      <c r="M33" s="94" t="s">
        <v>251</v>
      </c>
    </row>
    <row r="34" spans="1:13" s="60" customFormat="1" ht="30" x14ac:dyDescent="0.25">
      <c r="A34" s="77">
        <v>32</v>
      </c>
      <c r="B34" s="51" t="s">
        <v>8</v>
      </c>
      <c r="C34" s="54" t="s">
        <v>93</v>
      </c>
      <c r="D34" s="61" t="s">
        <v>35</v>
      </c>
      <c r="E34" s="61"/>
      <c r="F34" s="57">
        <f t="shared" si="0"/>
        <v>4</v>
      </c>
      <c r="G34" s="58">
        <f t="shared" si="1"/>
        <v>3</v>
      </c>
      <c r="H34" s="62"/>
      <c r="I34" s="63"/>
      <c r="J34" s="63"/>
      <c r="K34" s="63" t="s">
        <v>136</v>
      </c>
      <c r="L34" s="63"/>
      <c r="M34" s="94" t="s">
        <v>252</v>
      </c>
    </row>
    <row r="35" spans="1:13" s="60" customFormat="1" x14ac:dyDescent="0.25">
      <c r="A35" s="77">
        <v>33</v>
      </c>
      <c r="B35" s="51" t="s">
        <v>26</v>
      </c>
      <c r="C35" s="54" t="s">
        <v>90</v>
      </c>
      <c r="D35" s="61" t="s">
        <v>37</v>
      </c>
      <c r="E35" s="61"/>
      <c r="F35" s="57">
        <f t="shared" si="0"/>
        <v>3</v>
      </c>
      <c r="G35" s="58">
        <f t="shared" si="1"/>
        <v>2</v>
      </c>
      <c r="H35" s="62"/>
      <c r="I35" s="63"/>
      <c r="J35" s="63" t="s">
        <v>136</v>
      </c>
      <c r="K35" s="63"/>
      <c r="L35" s="63"/>
      <c r="M35" s="94" t="s">
        <v>215</v>
      </c>
    </row>
    <row r="36" spans="1:13" s="60" customFormat="1" ht="30" x14ac:dyDescent="0.25">
      <c r="A36" s="77">
        <v>34</v>
      </c>
      <c r="B36" s="51" t="s">
        <v>106</v>
      </c>
      <c r="C36" s="54" t="s">
        <v>108</v>
      </c>
      <c r="D36" s="61" t="s">
        <v>109</v>
      </c>
      <c r="E36" s="61"/>
      <c r="F36" s="57">
        <f t="shared" si="0"/>
        <v>5</v>
      </c>
      <c r="G36" s="58">
        <f t="shared" si="1"/>
        <v>4</v>
      </c>
      <c r="H36" s="62"/>
      <c r="I36" s="63"/>
      <c r="J36" s="63"/>
      <c r="K36" s="63"/>
      <c r="L36" s="63" t="s">
        <v>136</v>
      </c>
      <c r="M36" s="94" t="s">
        <v>216</v>
      </c>
    </row>
    <row r="37" spans="1:13" s="60" customFormat="1" x14ac:dyDescent="0.25">
      <c r="A37" s="77">
        <v>35</v>
      </c>
      <c r="B37" s="51" t="s">
        <v>21</v>
      </c>
      <c r="C37" s="54" t="s">
        <v>90</v>
      </c>
      <c r="D37" s="61" t="s">
        <v>37</v>
      </c>
      <c r="E37" s="61"/>
      <c r="F37" s="57">
        <f t="shared" si="0"/>
        <v>3</v>
      </c>
      <c r="G37" s="58">
        <f t="shared" si="1"/>
        <v>2</v>
      </c>
      <c r="H37" s="62"/>
      <c r="I37" s="63"/>
      <c r="J37" s="63" t="s">
        <v>136</v>
      </c>
      <c r="K37" s="63"/>
      <c r="L37" s="63"/>
      <c r="M37" s="94" t="s">
        <v>253</v>
      </c>
    </row>
    <row r="38" spans="1:13" s="60" customFormat="1" ht="30" x14ac:dyDescent="0.25">
      <c r="A38" s="77">
        <v>36</v>
      </c>
      <c r="B38" s="51" t="s">
        <v>5</v>
      </c>
      <c r="C38" s="54" t="s">
        <v>88</v>
      </c>
      <c r="D38" s="61" t="s">
        <v>33</v>
      </c>
      <c r="E38" s="61"/>
      <c r="F38" s="57">
        <f t="shared" si="0"/>
        <v>4</v>
      </c>
      <c r="G38" s="58">
        <f t="shared" si="1"/>
        <v>3</v>
      </c>
      <c r="H38" s="62"/>
      <c r="I38" s="63"/>
      <c r="J38" s="63"/>
      <c r="K38" s="63" t="s">
        <v>136</v>
      </c>
      <c r="L38" s="63"/>
      <c r="M38" s="94" t="s">
        <v>254</v>
      </c>
    </row>
    <row r="39" spans="1:13" s="60" customFormat="1" ht="30" x14ac:dyDescent="0.25">
      <c r="A39" s="77">
        <v>37</v>
      </c>
      <c r="B39" s="51" t="s">
        <v>22</v>
      </c>
      <c r="C39" s="54" t="s">
        <v>91</v>
      </c>
      <c r="D39" s="61" t="s">
        <v>37</v>
      </c>
      <c r="E39" s="61"/>
      <c r="F39" s="57">
        <f t="shared" si="0"/>
        <v>4</v>
      </c>
      <c r="G39" s="58">
        <f t="shared" si="1"/>
        <v>3</v>
      </c>
      <c r="H39" s="62"/>
      <c r="I39" s="63"/>
      <c r="J39" s="63"/>
      <c r="K39" s="63" t="s">
        <v>136</v>
      </c>
      <c r="L39" s="63"/>
      <c r="M39" s="94" t="s">
        <v>255</v>
      </c>
    </row>
    <row r="40" spans="1:13" s="60" customFormat="1" ht="30" x14ac:dyDescent="0.25">
      <c r="A40" s="77">
        <v>38</v>
      </c>
      <c r="B40" s="51" t="s">
        <v>25</v>
      </c>
      <c r="C40" s="54" t="s">
        <v>91</v>
      </c>
      <c r="D40" s="61" t="s">
        <v>34</v>
      </c>
      <c r="E40" s="61"/>
      <c r="F40" s="57">
        <f t="shared" si="0"/>
        <v>3</v>
      </c>
      <c r="G40" s="58">
        <f t="shared" si="1"/>
        <v>2</v>
      </c>
      <c r="H40" s="62"/>
      <c r="I40" s="63"/>
      <c r="J40" s="63" t="s">
        <v>136</v>
      </c>
      <c r="K40" s="63"/>
      <c r="L40" s="63"/>
      <c r="M40" s="94" t="s">
        <v>256</v>
      </c>
    </row>
    <row r="41" spans="1:13" s="60" customFormat="1" ht="30.75" thickBot="1" x14ac:dyDescent="0.3">
      <c r="A41" s="77">
        <v>39</v>
      </c>
      <c r="B41" s="73" t="s">
        <v>17</v>
      </c>
      <c r="C41" s="55" t="s">
        <v>90</v>
      </c>
      <c r="D41" s="64" t="s">
        <v>37</v>
      </c>
      <c r="E41" s="64"/>
      <c r="F41" s="57">
        <f t="shared" si="0"/>
        <v>3</v>
      </c>
      <c r="G41" s="58">
        <f t="shared" si="1"/>
        <v>2</v>
      </c>
      <c r="H41" s="65"/>
      <c r="I41" s="66"/>
      <c r="J41" s="66" t="s">
        <v>136</v>
      </c>
      <c r="K41" s="66"/>
      <c r="L41" s="66"/>
      <c r="M41" s="95" t="s">
        <v>257</v>
      </c>
    </row>
    <row r="43" spans="1:13" x14ac:dyDescent="0.25">
      <c r="B43" s="53" t="s">
        <v>99</v>
      </c>
    </row>
    <row r="44" spans="1:13" x14ac:dyDescent="0.25">
      <c r="B44" s="72" t="s">
        <v>258</v>
      </c>
    </row>
  </sheetData>
  <hyperlinks>
    <hyperlink ref="B44" r:id="rId1" display="https://www.cmc-canada.ca/web/default/files/CMC_Competency_Framework_2018.pdf" xr:uid="{1056EE80-8E6F-483A-92AE-D7FE55248A9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2CBD-B781-41A0-915B-CD098F9A2E1A}">
  <sheetPr>
    <pageSetUpPr fitToPage="1"/>
  </sheetPr>
  <dimension ref="A1:W49"/>
  <sheetViews>
    <sheetView topLeftCell="A16" workbookViewId="0">
      <selection activeCell="P4" sqref="P4"/>
    </sheetView>
  </sheetViews>
  <sheetFormatPr defaultRowHeight="15" x14ac:dyDescent="0.25"/>
  <cols>
    <col min="1" max="1" width="1.42578125" customWidth="1"/>
    <col min="2" max="2" width="35.7109375" customWidth="1"/>
    <col min="3" max="5" width="9.140625" hidden="1" customWidth="1"/>
    <col min="7" max="7" width="8.28515625" customWidth="1"/>
    <col min="8" max="11" width="6.85546875" customWidth="1"/>
    <col min="12" max="12" width="10.5703125" customWidth="1"/>
    <col min="13" max="13" width="35.7109375" customWidth="1"/>
    <col min="14" max="15" width="9.140625" hidden="1" customWidth="1"/>
    <col min="16" max="16" width="1.7109375" hidden="1" customWidth="1"/>
    <col min="18" max="18" width="8.28515625" customWidth="1"/>
    <col min="19" max="21" width="6.85546875" customWidth="1"/>
    <col min="22" max="22" width="89.28515625" customWidth="1"/>
    <col min="23" max="23" width="0.85546875" customWidth="1"/>
  </cols>
  <sheetData>
    <row r="1" spans="1:23" ht="15.75" thickBot="1" x14ac:dyDescent="0.3">
      <c r="A1" s="7"/>
      <c r="B1" s="8"/>
      <c r="C1" s="8"/>
      <c r="D1" s="8"/>
      <c r="E1" s="8"/>
      <c r="F1" s="8"/>
      <c r="G1" s="8"/>
      <c r="H1" s="8"/>
      <c r="I1" s="8"/>
      <c r="J1" s="8"/>
      <c r="K1" s="8"/>
      <c r="L1" s="8"/>
      <c r="M1" s="8"/>
      <c r="N1" s="8"/>
      <c r="O1" s="8"/>
      <c r="P1" s="8"/>
      <c r="Q1" s="8"/>
      <c r="R1" s="8"/>
      <c r="S1" s="8"/>
      <c r="T1" s="8"/>
      <c r="U1" s="8"/>
      <c r="V1" s="8"/>
      <c r="W1" s="9"/>
    </row>
    <row r="2" spans="1:23" ht="30.75" thickBot="1" x14ac:dyDescent="0.3">
      <c r="A2" s="10"/>
      <c r="B2" s="52" t="s">
        <v>134</v>
      </c>
      <c r="M2" s="52" t="s">
        <v>133</v>
      </c>
      <c r="V2" s="91" t="s">
        <v>132</v>
      </c>
      <c r="W2" s="11"/>
    </row>
    <row r="3" spans="1:23" ht="63" x14ac:dyDescent="0.25">
      <c r="A3" s="10"/>
      <c r="B3" s="19" t="s">
        <v>49</v>
      </c>
      <c r="C3" s="20"/>
      <c r="D3" s="20"/>
      <c r="E3" s="20"/>
      <c r="F3" s="2" t="s">
        <v>46</v>
      </c>
      <c r="G3" s="2" t="s">
        <v>48</v>
      </c>
      <c r="H3" s="3" t="s">
        <v>47</v>
      </c>
      <c r="I3" s="67"/>
      <c r="J3" s="78" t="s">
        <v>112</v>
      </c>
      <c r="K3" s="67"/>
      <c r="L3" s="1"/>
      <c r="M3" s="19" t="s">
        <v>49</v>
      </c>
      <c r="N3" s="20"/>
      <c r="O3" s="20"/>
      <c r="P3" s="20"/>
      <c r="Q3" s="2" t="s">
        <v>46</v>
      </c>
      <c r="R3" s="2" t="s">
        <v>48</v>
      </c>
      <c r="S3" s="3" t="s">
        <v>47</v>
      </c>
      <c r="T3" s="67"/>
      <c r="U3" s="67"/>
      <c r="V3" s="25"/>
      <c r="W3" s="11"/>
    </row>
    <row r="4" spans="1:23" x14ac:dyDescent="0.25">
      <c r="A4" s="10"/>
      <c r="B4" s="21" t="s">
        <v>113</v>
      </c>
      <c r="C4" s="17" t="s">
        <v>88</v>
      </c>
      <c r="D4" s="17">
        <f>COUNTIF('Self-assessment'!$C$3:$C$41,$C4)*5</f>
        <v>35</v>
      </c>
      <c r="E4" s="17">
        <f>SUMIF('Self-assessment'!$C$3:$C$41,$C4,'Self-assessment'!$G$3:$G$41)</f>
        <v>11</v>
      </c>
      <c r="F4" s="18">
        <f>(E4/D4)*4</f>
        <v>1.2571428571428571</v>
      </c>
      <c r="G4" s="18">
        <f>_xlfn.MINIFS('Self-assessment'!$G$3:$G$41,'Self-assessment'!$C$3:'Self-assessment'!$C$41,$C4,'Self-assessment'!$G$3:$G$41,"&gt;0")</f>
        <v>1</v>
      </c>
      <c r="H4" s="22">
        <f>_xlfn.MAXIFS('Self-assessment'!$G$3:$G$41,'Self-assessment'!$C$3:$C$41,$C4,'Self-assessment'!$G$3:$G$41,"&gt;0")</f>
        <v>2</v>
      </c>
      <c r="I4" s="68"/>
      <c r="J4" s="79">
        <f>'initial assessment'!J4</f>
        <v>1</v>
      </c>
      <c r="K4" s="68"/>
      <c r="M4" s="21" t="s">
        <v>113</v>
      </c>
      <c r="N4" s="17" t="s">
        <v>88</v>
      </c>
      <c r="O4" s="17">
        <f>COUNTIF('Job Description'!$C$3:$C$41,$N4)*5</f>
        <v>35</v>
      </c>
      <c r="P4" s="17">
        <f>SUMIF('Job Description'!$C$3:$C$41,$N4,'Job Description'!$G$3:$G$41)</f>
        <v>25</v>
      </c>
      <c r="Q4" s="18">
        <f>(P4/O4)*4</f>
        <v>2.8571428571428572</v>
      </c>
      <c r="R4" s="18">
        <f>_xlfn.MINIFS('Self-assessment'!$G$3:$G$41,'Self-assessment'!$C$3:'Self-assessment'!$C$41,$C4,'Self-assessment'!$G$3:$G$41,"&gt;0")</f>
        <v>1</v>
      </c>
      <c r="S4" s="22">
        <f>_xlfn.MAXIFS('Self-assessment'!$G$3:$G$41,'Self-assessment'!$C$3:$C$41,$C4,'Self-assessment'!$G$3:$G$41,"&gt;0")</f>
        <v>2</v>
      </c>
      <c r="T4" s="68"/>
      <c r="U4" s="68"/>
      <c r="V4" s="26"/>
      <c r="W4" s="11"/>
    </row>
    <row r="5" spans="1:23" x14ac:dyDescent="0.25">
      <c r="A5" s="10"/>
      <c r="B5" s="21" t="s">
        <v>110</v>
      </c>
      <c r="C5" s="17" t="s">
        <v>108</v>
      </c>
      <c r="D5" s="17">
        <f>COUNTIF('Self-assessment'!$C$3:$C$41,$C5)*5</f>
        <v>25</v>
      </c>
      <c r="E5" s="17">
        <f>SUMIF('Self-assessment'!$C$3:$C$41,$C5,'Self-assessment'!$G$3:$G$41)</f>
        <v>6</v>
      </c>
      <c r="F5" s="18">
        <f t="shared" ref="F5:F10" si="0">(E5/D5)*4</f>
        <v>0.96</v>
      </c>
      <c r="G5" s="18">
        <f>_xlfn.MINIFS('Self-assessment'!$G$3:$G$41,'Self-assessment'!$C$3:'Self-assessment'!$C$41,$C5,'Self-assessment'!$G$3:$G$41,"&gt;0")</f>
        <v>1</v>
      </c>
      <c r="H5" s="22">
        <f>_xlfn.MAXIFS('Self-assessment'!$G$3:$G$41,'Self-assessment'!$C$3:$C$41,$C5,'Self-assessment'!$G$3:$G$41,"&gt;0")</f>
        <v>2</v>
      </c>
      <c r="I5" s="68"/>
      <c r="J5" s="79">
        <f>'initial assessment'!J5</f>
        <v>1</v>
      </c>
      <c r="K5" s="68"/>
      <c r="M5" s="21" t="s">
        <v>110</v>
      </c>
      <c r="N5" s="17" t="s">
        <v>108</v>
      </c>
      <c r="O5" s="17">
        <f>COUNTIF('Job Description'!$C$3:$C$41,$N5)*5</f>
        <v>25</v>
      </c>
      <c r="P5" s="17">
        <f>SUMIF('Job Description'!$C$3:$C$41,$N5,'Job Description'!$G$3:$G$41)</f>
        <v>18</v>
      </c>
      <c r="Q5" s="18">
        <f t="shared" ref="Q5:Q10" si="1">(P5/O5)*4</f>
        <v>2.88</v>
      </c>
      <c r="R5" s="18">
        <f>_xlfn.MINIFS('Self-assessment'!$G$3:$G$41,'Self-assessment'!$C$3:'Self-assessment'!$C$41,$C5,'Self-assessment'!$G$3:$G$41,"&gt;0")</f>
        <v>1</v>
      </c>
      <c r="S5" s="22">
        <f>_xlfn.MAXIFS('Self-assessment'!$G$3:$G$41,'Self-assessment'!$C$3:$C$41,$C5,'Self-assessment'!$G$3:$G$41,"&gt;0")</f>
        <v>2</v>
      </c>
      <c r="T5" s="68"/>
      <c r="U5" s="68"/>
      <c r="V5" s="26"/>
      <c r="W5" s="11"/>
    </row>
    <row r="6" spans="1:23" x14ac:dyDescent="0.25">
      <c r="A6" s="10"/>
      <c r="B6" s="23" t="s">
        <v>98</v>
      </c>
      <c r="C6" s="24" t="s">
        <v>92</v>
      </c>
      <c r="D6" s="17">
        <f>COUNTIF('Self-assessment'!$C$3:$C$41,$C6)*5</f>
        <v>10</v>
      </c>
      <c r="E6" s="17">
        <f>SUMIF('Self-assessment'!$C$3:$C$41,$C6,'Self-assessment'!$G$3:$G$41)</f>
        <v>4</v>
      </c>
      <c r="F6" s="18">
        <f t="shared" si="0"/>
        <v>1.6</v>
      </c>
      <c r="G6" s="18">
        <f>_xlfn.MINIFS('Self-assessment'!$G$3:$G$41,'Self-assessment'!$C$3:'Self-assessment'!$C$41,$C6,'Self-assessment'!$G$3:$G$41,"&gt;0")</f>
        <v>2</v>
      </c>
      <c r="H6" s="22">
        <f>_xlfn.MAXIFS('Self-assessment'!$G$3:$G$41,'Self-assessment'!$C$3:$C$41,$C6,'Self-assessment'!$G$3:$G$41,"&gt;0")</f>
        <v>2</v>
      </c>
      <c r="I6" s="68"/>
      <c r="J6" s="79">
        <f>'initial assessment'!J6</f>
        <v>2</v>
      </c>
      <c r="K6" s="68"/>
      <c r="M6" s="23" t="s">
        <v>98</v>
      </c>
      <c r="N6" s="24" t="s">
        <v>92</v>
      </c>
      <c r="O6" s="17">
        <f>COUNTIF('Job Description'!$C$3:$C$41,$N6)*5</f>
        <v>10</v>
      </c>
      <c r="P6" s="17">
        <f>SUMIF('Job Description'!$C$3:$C$41,$N6,'Job Description'!$G$3:$G$41)</f>
        <v>5</v>
      </c>
      <c r="Q6" s="18">
        <f t="shared" si="1"/>
        <v>2</v>
      </c>
      <c r="R6" s="18">
        <f>_xlfn.MINIFS('Self-assessment'!$G$3:$G$41,'Self-assessment'!$C$3:'Self-assessment'!$C$41,$C6,'Self-assessment'!$G$3:$G$41,"&gt;0")</f>
        <v>2</v>
      </c>
      <c r="S6" s="22">
        <f>_xlfn.MAXIFS('Self-assessment'!$G$3:$G$41,'Self-assessment'!$C$3:$C$41,$C6,'Self-assessment'!$G$3:$G$41,"&gt;0")</f>
        <v>2</v>
      </c>
      <c r="T6" s="68"/>
      <c r="U6" s="68"/>
      <c r="V6" s="26"/>
      <c r="W6" s="11"/>
    </row>
    <row r="7" spans="1:23" x14ac:dyDescent="0.25">
      <c r="A7" s="10"/>
      <c r="B7" s="23" t="s">
        <v>97</v>
      </c>
      <c r="C7" s="24" t="s">
        <v>89</v>
      </c>
      <c r="D7" s="17">
        <f>COUNTIF('Self-assessment'!$C$3:$C$41,$C7)*5</f>
        <v>25</v>
      </c>
      <c r="E7" s="17">
        <f>SUMIF('Self-assessment'!$C$3:$C$41,$C7,'Self-assessment'!$G$3:$G$41)</f>
        <v>11</v>
      </c>
      <c r="F7" s="18">
        <f t="shared" si="0"/>
        <v>1.76</v>
      </c>
      <c r="G7" s="18">
        <f>_xlfn.MINIFS('Self-assessment'!$G$3:$G$41,'Self-assessment'!$C$3:'Self-assessment'!$C$41,$C7,'Self-assessment'!$G$3:$G$41,"&gt;0")</f>
        <v>2</v>
      </c>
      <c r="H7" s="22">
        <f>_xlfn.MAXIFS('Self-assessment'!$G$3:$G$41,'Self-assessment'!$C$3:$C$41,$C7,'Self-assessment'!$G$3:$G$41,"&gt;0")</f>
        <v>3</v>
      </c>
      <c r="I7" s="68"/>
      <c r="J7" s="79">
        <f>'initial assessment'!J7</f>
        <v>1</v>
      </c>
      <c r="K7" s="68"/>
      <c r="M7" s="23" t="s">
        <v>97</v>
      </c>
      <c r="N7" s="24" t="s">
        <v>89</v>
      </c>
      <c r="O7" s="17">
        <f>COUNTIF('Job Description'!$C$3:$C$41,$N7)*5</f>
        <v>25</v>
      </c>
      <c r="P7" s="17">
        <f>SUMIF('Job Description'!$C$3:$C$41,$N7,'Job Description'!$G$3:$G$41)</f>
        <v>12</v>
      </c>
      <c r="Q7" s="18">
        <f t="shared" si="1"/>
        <v>1.92</v>
      </c>
      <c r="R7" s="18">
        <f>_xlfn.MINIFS('Self-assessment'!$G$3:$G$41,'Self-assessment'!$C$3:'Self-assessment'!$C$41,$C7,'Self-assessment'!$G$3:$G$41,"&gt;0")</f>
        <v>2</v>
      </c>
      <c r="S7" s="22">
        <f>_xlfn.MAXIFS('Self-assessment'!$G$3:$G$41,'Self-assessment'!$C$3:$C$41,$C7,'Self-assessment'!$G$3:$G$41,"&gt;0")</f>
        <v>3</v>
      </c>
      <c r="T7" s="68"/>
      <c r="U7" s="68"/>
      <c r="V7" s="26"/>
      <c r="W7" s="11"/>
    </row>
    <row r="8" spans="1:23" x14ac:dyDescent="0.25">
      <c r="A8" s="10"/>
      <c r="B8" s="23" t="s">
        <v>96</v>
      </c>
      <c r="C8" s="24" t="s">
        <v>93</v>
      </c>
      <c r="D8" s="17">
        <f>COUNTIF('Self-assessment'!$C$3:$C$41,$C8)*5</f>
        <v>15</v>
      </c>
      <c r="E8" s="17">
        <f>SUMIF('Self-assessment'!$C$3:$C$41,$C8,'Self-assessment'!$G$3:$G$41)</f>
        <v>6</v>
      </c>
      <c r="F8" s="18">
        <f t="shared" si="0"/>
        <v>1.6</v>
      </c>
      <c r="G8" s="18">
        <f>_xlfn.MINIFS('Self-assessment'!$G$3:$G$41,'Self-assessment'!$C$3:'Self-assessment'!$C$41,$C8,'Self-assessment'!$G$3:$G$41,"&gt;0")</f>
        <v>2</v>
      </c>
      <c r="H8" s="22">
        <f>_xlfn.MAXIFS('Self-assessment'!$G$3:$G$41,'Self-assessment'!$C$3:$C$41,$C8,'Self-assessment'!$G$3:$G$41,"&gt;0")</f>
        <v>2</v>
      </c>
      <c r="I8" s="68"/>
      <c r="J8" s="79">
        <f>'initial assessment'!J8</f>
        <v>2</v>
      </c>
      <c r="K8" s="68"/>
      <c r="M8" s="23" t="s">
        <v>96</v>
      </c>
      <c r="N8" s="24" t="s">
        <v>93</v>
      </c>
      <c r="O8" s="17">
        <f>COUNTIF('Job Description'!$C$3:$C$41,$N8)*5</f>
        <v>15</v>
      </c>
      <c r="P8" s="17">
        <f>SUMIF('Job Description'!$C$3:$C$41,$N8,'Job Description'!$G$3:$G$41)</f>
        <v>9</v>
      </c>
      <c r="Q8" s="18">
        <f t="shared" si="1"/>
        <v>2.4</v>
      </c>
      <c r="R8" s="18">
        <f>_xlfn.MINIFS('Self-assessment'!$G$3:$G$41,'Self-assessment'!$C$3:'Self-assessment'!$C$41,$C8,'Self-assessment'!$G$3:$G$41,"&gt;0")</f>
        <v>2</v>
      </c>
      <c r="S8" s="22">
        <f>_xlfn.MAXIFS('Self-assessment'!$G$3:$G$41,'Self-assessment'!$C$3:$C$41,$C8,'Self-assessment'!$G$3:$G$41,"&gt;0")</f>
        <v>2</v>
      </c>
      <c r="T8" s="68"/>
      <c r="U8" s="68"/>
      <c r="V8" s="26"/>
      <c r="W8" s="11"/>
    </row>
    <row r="9" spans="1:23" ht="30" x14ac:dyDescent="0.25">
      <c r="A9" s="10"/>
      <c r="B9" s="48" t="s">
        <v>95</v>
      </c>
      <c r="C9" s="24" t="s">
        <v>91</v>
      </c>
      <c r="D9" s="17">
        <f>COUNTIF('Self-assessment'!$C$3:$C$41,$C9)*5</f>
        <v>25</v>
      </c>
      <c r="E9" s="17">
        <f>SUMIF('Self-assessment'!$C$3:$C$41,$C9,'Self-assessment'!$G$3:$G$41)</f>
        <v>9</v>
      </c>
      <c r="F9" s="18">
        <f t="shared" si="0"/>
        <v>1.44</v>
      </c>
      <c r="G9" s="18">
        <f>_xlfn.MINIFS('Self-assessment'!$G$3:$G$41,'Self-assessment'!$C$3:'Self-assessment'!$C$41,$C9,'Self-assessment'!$G$3:$G$41,"&gt;0")</f>
        <v>1</v>
      </c>
      <c r="H9" s="22">
        <f>_xlfn.MAXIFS('Self-assessment'!$G$3:$G$41,'Self-assessment'!$C$3:$C$41,$C9,'Self-assessment'!$G$3:$G$41,"&gt;0")</f>
        <v>2</v>
      </c>
      <c r="I9" s="68"/>
      <c r="J9" s="79">
        <f>'initial assessment'!J9</f>
        <v>1</v>
      </c>
      <c r="K9" s="68"/>
      <c r="M9" s="48" t="s">
        <v>95</v>
      </c>
      <c r="N9" s="24" t="s">
        <v>91</v>
      </c>
      <c r="O9" s="17">
        <f>COUNTIF('Job Description'!$C$3:$C$41,$N9)*5</f>
        <v>25</v>
      </c>
      <c r="P9" s="17">
        <f>SUMIF('Job Description'!$C$3:$C$41,$N9,'Job Description'!$G$3:$G$41)</f>
        <v>16</v>
      </c>
      <c r="Q9" s="18">
        <f t="shared" si="1"/>
        <v>2.56</v>
      </c>
      <c r="R9" s="18">
        <f>_xlfn.MINIFS('Self-assessment'!$G$3:$G$41,'Self-assessment'!$C$3:'Self-assessment'!$C$41,$C9,'Self-assessment'!$G$3:$G$41,"&gt;0")</f>
        <v>1</v>
      </c>
      <c r="S9" s="22">
        <f>_xlfn.MAXIFS('Self-assessment'!$G$3:$G$41,'Self-assessment'!$C$3:$C$41,$C9,'Self-assessment'!$G$3:$G$41,"&gt;0")</f>
        <v>2</v>
      </c>
      <c r="T9" s="68"/>
      <c r="U9" s="68"/>
      <c r="V9" s="26"/>
      <c r="W9" s="11"/>
    </row>
    <row r="10" spans="1:23" ht="30" x14ac:dyDescent="0.25">
      <c r="A10" s="10"/>
      <c r="B10" s="48" t="s">
        <v>94</v>
      </c>
      <c r="C10" s="24" t="s">
        <v>90</v>
      </c>
      <c r="D10" s="17">
        <f>COUNTIF('Self-assessment'!$C$3:$C$41,$C10)*5</f>
        <v>60</v>
      </c>
      <c r="E10" s="17">
        <f>SUMIF('Self-assessment'!$C$3:$C$41,$C10,'Self-assessment'!$G$3:$G$41)</f>
        <v>24</v>
      </c>
      <c r="F10" s="18">
        <f t="shared" si="0"/>
        <v>1.6</v>
      </c>
      <c r="G10" s="18">
        <f>_xlfn.MINIFS('Self-assessment'!$G$3:$G$41,'Self-assessment'!$C$3:'Self-assessment'!$C$41,$C10,'Self-assessment'!$G$3:$G$41,"&gt;0")</f>
        <v>1</v>
      </c>
      <c r="H10" s="22">
        <f>_xlfn.MAXIFS('Self-assessment'!$G$3:$G$41,'Self-assessment'!$C$3:$C$41,$C10,'Self-assessment'!$G$3:$G$41,"&gt;0")</f>
        <v>3</v>
      </c>
      <c r="I10" s="68"/>
      <c r="J10" s="79">
        <f>'initial assessment'!J10</f>
        <v>2</v>
      </c>
      <c r="K10" s="68"/>
      <c r="M10" s="48" t="s">
        <v>94</v>
      </c>
      <c r="N10" s="24" t="s">
        <v>90</v>
      </c>
      <c r="O10" s="17">
        <f>COUNTIF('Job Description'!$C$3:$C$41,$N10)*5</f>
        <v>60</v>
      </c>
      <c r="P10" s="17">
        <f>SUMIF('Job Description'!$C$3:$C$41,$N10,'Job Description'!$G$3:$G$41)</f>
        <v>44</v>
      </c>
      <c r="Q10" s="18">
        <f t="shared" si="1"/>
        <v>2.9333333333333331</v>
      </c>
      <c r="R10" s="18">
        <f>_xlfn.MINIFS('Self-assessment'!$G$3:$G$41,'Self-assessment'!$C$3:'Self-assessment'!$C$41,$C10,'Self-assessment'!$G$3:$G$41,"&gt;0")</f>
        <v>1</v>
      </c>
      <c r="S10" s="22">
        <f>_xlfn.MAXIFS('Self-assessment'!$G$3:$G$41,'Self-assessment'!$C$3:$C$41,$C10,'Self-assessment'!$G$3:$G$41,"&gt;0")</f>
        <v>3</v>
      </c>
      <c r="T10" s="68"/>
      <c r="U10" s="68"/>
      <c r="V10" s="26"/>
      <c r="W10" s="11"/>
    </row>
    <row r="11" spans="1:23" x14ac:dyDescent="0.25">
      <c r="A11" s="12"/>
      <c r="V11" s="26"/>
      <c r="W11" s="11"/>
    </row>
    <row r="12" spans="1:23" x14ac:dyDescent="0.25">
      <c r="A12" s="12"/>
      <c r="V12" s="26"/>
      <c r="W12" s="11"/>
    </row>
    <row r="13" spans="1:23" x14ac:dyDescent="0.25">
      <c r="A13" s="12"/>
      <c r="V13" s="26"/>
      <c r="W13" s="11"/>
    </row>
    <row r="14" spans="1:23" x14ac:dyDescent="0.25">
      <c r="A14" s="12"/>
      <c r="V14" s="26"/>
      <c r="W14" s="11"/>
    </row>
    <row r="15" spans="1:23" x14ac:dyDescent="0.25">
      <c r="A15" s="12"/>
      <c r="V15" s="26"/>
      <c r="W15" s="11"/>
    </row>
    <row r="16" spans="1:23" x14ac:dyDescent="0.25">
      <c r="A16" s="12"/>
      <c r="V16" s="26"/>
      <c r="W16" s="11"/>
    </row>
    <row r="17" spans="1:23" x14ac:dyDescent="0.25">
      <c r="A17" s="12"/>
      <c r="V17" s="26"/>
      <c r="W17" s="11"/>
    </row>
    <row r="18" spans="1:23" x14ac:dyDescent="0.25">
      <c r="A18" s="12"/>
      <c r="V18" s="26"/>
      <c r="W18" s="11"/>
    </row>
    <row r="19" spans="1:23" x14ac:dyDescent="0.25">
      <c r="A19" s="12"/>
      <c r="V19" s="26"/>
      <c r="W19" s="11"/>
    </row>
    <row r="20" spans="1:23" x14ac:dyDescent="0.25">
      <c r="A20" s="12"/>
      <c r="V20" s="26"/>
      <c r="W20" s="11"/>
    </row>
    <row r="21" spans="1:23" x14ac:dyDescent="0.25">
      <c r="A21" s="12"/>
      <c r="V21" s="26"/>
      <c r="W21" s="11"/>
    </row>
    <row r="22" spans="1:23" x14ac:dyDescent="0.25">
      <c r="A22" s="12"/>
      <c r="V22" s="26"/>
      <c r="W22" s="11"/>
    </row>
    <row r="23" spans="1:23" x14ac:dyDescent="0.25">
      <c r="A23" s="12"/>
      <c r="V23" s="26"/>
      <c r="W23" s="11"/>
    </row>
    <row r="24" spans="1:23" x14ac:dyDescent="0.25">
      <c r="A24" s="12"/>
      <c r="V24" s="26"/>
      <c r="W24" s="11"/>
    </row>
    <row r="25" spans="1:23" x14ac:dyDescent="0.25">
      <c r="A25" s="12"/>
      <c r="V25" s="26"/>
      <c r="W25" s="11"/>
    </row>
    <row r="26" spans="1:23" x14ac:dyDescent="0.25">
      <c r="A26" s="12"/>
      <c r="V26" s="26"/>
      <c r="W26" s="11"/>
    </row>
    <row r="27" spans="1:23" x14ac:dyDescent="0.25">
      <c r="A27" s="12"/>
      <c r="V27" s="26"/>
      <c r="W27" s="11"/>
    </row>
    <row r="28" spans="1:23" ht="15.75" thickBot="1" x14ac:dyDescent="0.3">
      <c r="A28" s="12"/>
      <c r="V28" s="27"/>
      <c r="W28" s="11"/>
    </row>
    <row r="29" spans="1:23" ht="15.75" thickBot="1" x14ac:dyDescent="0.3">
      <c r="A29" s="12"/>
      <c r="V29" s="16" t="s">
        <v>131</v>
      </c>
      <c r="W29" s="11"/>
    </row>
    <row r="30" spans="1:23" x14ac:dyDescent="0.25">
      <c r="A30" s="12"/>
      <c r="V30" s="28"/>
      <c r="W30" s="11"/>
    </row>
    <row r="31" spans="1:23" x14ac:dyDescent="0.25">
      <c r="A31" s="12"/>
      <c r="V31" s="29"/>
      <c r="W31" s="11"/>
    </row>
    <row r="32" spans="1:23" x14ac:dyDescent="0.25">
      <c r="A32" s="12"/>
      <c r="V32" s="29"/>
      <c r="W32" s="11"/>
    </row>
    <row r="33" spans="1:23" x14ac:dyDescent="0.25">
      <c r="A33" s="12"/>
      <c r="V33" s="29"/>
      <c r="W33" s="11"/>
    </row>
    <row r="34" spans="1:23" x14ac:dyDescent="0.25">
      <c r="A34" s="12"/>
      <c r="V34" s="29"/>
      <c r="W34" s="11"/>
    </row>
    <row r="35" spans="1:23" x14ac:dyDescent="0.25">
      <c r="A35" s="12"/>
      <c r="V35" s="29"/>
      <c r="W35" s="11"/>
    </row>
    <row r="36" spans="1:23" x14ac:dyDescent="0.25">
      <c r="A36" s="12"/>
      <c r="V36" s="29"/>
      <c r="W36" s="11"/>
    </row>
    <row r="37" spans="1:23" x14ac:dyDescent="0.25">
      <c r="A37" s="12"/>
      <c r="V37" s="29"/>
      <c r="W37" s="11"/>
    </row>
    <row r="38" spans="1:23" x14ac:dyDescent="0.25">
      <c r="A38" s="12"/>
      <c r="V38" s="29"/>
      <c r="W38" s="11"/>
    </row>
    <row r="39" spans="1:23" x14ac:dyDescent="0.25">
      <c r="A39" s="12"/>
      <c r="V39" s="29"/>
      <c r="W39" s="11"/>
    </row>
    <row r="40" spans="1:23" x14ac:dyDescent="0.25">
      <c r="A40" s="12"/>
      <c r="V40" s="29"/>
      <c r="W40" s="11"/>
    </row>
    <row r="41" spans="1:23" x14ac:dyDescent="0.25">
      <c r="A41" s="12"/>
      <c r="V41" s="29"/>
      <c r="W41" s="11"/>
    </row>
    <row r="42" spans="1:23" x14ac:dyDescent="0.25">
      <c r="A42" s="12"/>
      <c r="V42" s="29"/>
      <c r="W42" s="11"/>
    </row>
    <row r="43" spans="1:23" x14ac:dyDescent="0.25">
      <c r="A43" s="12"/>
      <c r="V43" s="29"/>
      <c r="W43" s="11"/>
    </row>
    <row r="44" spans="1:23" x14ac:dyDescent="0.25">
      <c r="A44" s="12"/>
      <c r="V44" s="29"/>
      <c r="W44" s="11"/>
    </row>
    <row r="45" spans="1:23" x14ac:dyDescent="0.25">
      <c r="A45" s="12"/>
      <c r="V45" s="29"/>
      <c r="W45" s="11"/>
    </row>
    <row r="46" spans="1:23" x14ac:dyDescent="0.25">
      <c r="A46" s="12"/>
      <c r="V46" s="29"/>
      <c r="W46" s="11"/>
    </row>
    <row r="47" spans="1:23" x14ac:dyDescent="0.25">
      <c r="A47" s="12"/>
      <c r="V47" s="29"/>
      <c r="W47" s="11"/>
    </row>
    <row r="48" spans="1:23" ht="15.75" thickBot="1" x14ac:dyDescent="0.3">
      <c r="A48" s="12"/>
      <c r="V48" s="30"/>
      <c r="W48" s="11"/>
    </row>
    <row r="49" spans="1:23" ht="6.75" customHeight="1" thickBot="1" x14ac:dyDescent="0.3">
      <c r="A49" s="13"/>
      <c r="B49" s="14"/>
      <c r="C49" s="14"/>
      <c r="D49" s="14"/>
      <c r="E49" s="14"/>
      <c r="F49" s="14"/>
      <c r="G49" s="14"/>
      <c r="H49" s="14"/>
      <c r="I49" s="14"/>
      <c r="J49" s="14"/>
      <c r="K49" s="14"/>
      <c r="L49" s="14"/>
      <c r="M49" s="14"/>
      <c r="N49" s="14"/>
      <c r="O49" s="14"/>
      <c r="P49" s="14"/>
      <c r="Q49" s="14"/>
      <c r="R49" s="14"/>
      <c r="S49" s="14"/>
      <c r="T49" s="14"/>
      <c r="U49" s="14"/>
      <c r="V49" s="14"/>
      <c r="W49" s="15"/>
    </row>
  </sheetData>
  <pageMargins left="0.23622047244094491" right="0.23622047244094491" top="0.19685039370078741" bottom="0.35433070866141736" header="0" footer="0"/>
  <pageSetup paperSize="9" scale="78" fitToHeight="0" orientation="landscape" horizontalDpi="0" verticalDpi="0" r:id="rId1"/>
  <drawing r:id="rId2"/>
</worksheet>
</file>

<file path=docMetadata/LabelInfo.xml><?xml version="1.0" encoding="utf-8"?>
<clbl:labelList xmlns:clbl="http://schemas.microsoft.com/office/2020/mipLabelMetadata">
  <clbl:label id="{0c7fd77c-bf1b-4511-8a0d-ca095442aa9f}" enabled="1" method="Privileged" siteId="{07ef1208-413c-4b5e-9cdd-64ef305754f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definitions</vt:lpstr>
      <vt:lpstr>initial assessment</vt:lpstr>
      <vt:lpstr>Self-assessment</vt:lpstr>
      <vt:lpstr>Job Description</vt:lpstr>
      <vt:lpstr>Assessment of your Programme</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Hatfield</dc:creator>
  <cp:lastModifiedBy>Binh Nguyen</cp:lastModifiedBy>
  <cp:lastPrinted>2023-04-13T07:52:13Z</cp:lastPrinted>
  <dcterms:created xsi:type="dcterms:W3CDTF">2021-04-09T12:52:37Z</dcterms:created>
  <dcterms:modified xsi:type="dcterms:W3CDTF">2026-04-02T03:33:49Z</dcterms:modified>
</cp:coreProperties>
</file>