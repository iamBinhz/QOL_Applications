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Đóc-cu-mừn\University-Documents-IBD-NEU\PSBF\34%\"/>
    </mc:Choice>
  </mc:AlternateContent>
  <xr:revisionPtr revIDLastSave="0" documentId="13_ncr:1_{743082D7-2B0F-4FB3-9855-96FCE69E9F3A}" xr6:coauthVersionLast="47" xr6:coauthVersionMax="47" xr10:uidLastSave="{00000000-0000-0000-0000-000000000000}"/>
  <bookViews>
    <workbookView xWindow="-120" yWindow="-120" windowWidth="29040" windowHeight="15720" tabRatio="593" activeTab="2" xr2:uid="{BE105AD9-DEC7-45D1-A403-1F6BEA491CE7}"/>
  </bookViews>
  <sheets>
    <sheet name="know yourself dashboard" sheetId="11" r:id="rId1"/>
    <sheet name="compass template" sheetId="12" r:id="rId2"/>
    <sheet name="good time journal template" sheetId="9" r:id="rId3"/>
    <sheet name="reframing clinic" sheetId="1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7" i="9" l="1"/>
  <c r="AD37" i="9"/>
  <c r="AC37" i="9"/>
  <c r="AB37" i="9"/>
  <c r="AA37" i="9"/>
  <c r="Z37" i="9"/>
  <c r="Y37" i="9"/>
  <c r="X37" i="9"/>
  <c r="W37" i="9"/>
  <c r="V37" i="9"/>
  <c r="U37" i="9"/>
  <c r="AB36" i="9"/>
  <c r="AC36" i="9" s="1"/>
  <c r="AD36" i="9" s="1"/>
  <c r="AE36" i="9" s="1"/>
  <c r="AA36" i="9"/>
  <c r="X36" i="9"/>
  <c r="W36" i="9"/>
  <c r="V36" i="9" s="1"/>
  <c r="U36" i="9" s="1"/>
  <c r="N36" i="9"/>
  <c r="O36" i="9" s="1"/>
  <c r="M36" i="9"/>
  <c r="L36" i="9"/>
  <c r="K36" i="9"/>
  <c r="H36" i="9"/>
  <c r="G36" i="9"/>
  <c r="F36" i="9"/>
  <c r="E36" i="9"/>
  <c r="AF35" i="9"/>
  <c r="AE33" i="9"/>
  <c r="AD33" i="9"/>
  <c r="AC33" i="9"/>
  <c r="AB33" i="9"/>
  <c r="AA33" i="9"/>
  <c r="Z33" i="9"/>
  <c r="Y33" i="9"/>
  <c r="X33" i="9"/>
  <c r="AF34" i="9" s="1"/>
  <c r="W33" i="9"/>
  <c r="V33" i="9"/>
  <c r="U33" i="9"/>
  <c r="AA32" i="9"/>
  <c r="AB32" i="9" s="1"/>
  <c r="AC32" i="9" s="1"/>
  <c r="AD32" i="9" s="1"/>
  <c r="AE32" i="9" s="1"/>
  <c r="X32" i="9"/>
  <c r="W32" i="9"/>
  <c r="V32" i="9" s="1"/>
  <c r="U32" i="9" s="1"/>
  <c r="L32" i="9"/>
  <c r="M32" i="9" s="1"/>
  <c r="N32" i="9" s="1"/>
  <c r="O32" i="9" s="1"/>
  <c r="K32" i="9"/>
  <c r="H32" i="9"/>
  <c r="G32" i="9"/>
  <c r="F32" i="9"/>
  <c r="E32" i="9"/>
  <c r="AF8" i="9"/>
  <c r="AH4" i="9"/>
  <c r="AK4" i="9" s="1"/>
  <c r="O53" i="11"/>
  <c r="N53" i="11"/>
  <c r="M53" i="11"/>
  <c r="L53" i="11"/>
  <c r="K53" i="11"/>
  <c r="J53" i="11"/>
  <c r="I53" i="11"/>
  <c r="H53" i="11"/>
  <c r="G53" i="11"/>
  <c r="F53" i="11"/>
  <c r="O52" i="11"/>
  <c r="N52" i="11"/>
  <c r="M52" i="11"/>
  <c r="L52" i="11"/>
  <c r="K52" i="11"/>
  <c r="J52" i="11"/>
  <c r="I52" i="11"/>
  <c r="H52" i="11"/>
  <c r="G52" i="11"/>
  <c r="F52" i="11"/>
  <c r="O51" i="11"/>
  <c r="N51" i="11"/>
  <c r="M51" i="11"/>
  <c r="L51" i="11"/>
  <c r="K51" i="11"/>
  <c r="J51" i="11"/>
  <c r="I51" i="11"/>
  <c r="H51" i="11"/>
  <c r="G51" i="11"/>
  <c r="F51" i="11"/>
  <c r="O50" i="11"/>
  <c r="N50" i="11"/>
  <c r="M50" i="11"/>
  <c r="L50" i="11"/>
  <c r="K50" i="11"/>
  <c r="J50" i="11"/>
  <c r="I50" i="11"/>
  <c r="H50" i="11"/>
  <c r="G50" i="11"/>
  <c r="F50" i="11"/>
  <c r="E53" i="11"/>
  <c r="E52" i="11"/>
  <c r="E50" i="11"/>
  <c r="E51" i="11"/>
  <c r="AN4" i="9"/>
  <c r="AJ4" i="9"/>
  <c r="AI4" i="9"/>
  <c r="AE11" i="9"/>
  <c r="AC11" i="9"/>
  <c r="AB11" i="9"/>
  <c r="AA11" i="9"/>
  <c r="Z11" i="9"/>
  <c r="Y11" i="9"/>
  <c r="X11" i="9"/>
  <c r="V11" i="9"/>
  <c r="U11" i="9"/>
  <c r="AA10" i="9"/>
  <c r="AB10" i="9" s="1"/>
  <c r="AC10" i="9" s="1"/>
  <c r="AD10" i="9" s="1"/>
  <c r="AE10" i="9" s="1"/>
  <c r="X10" i="9"/>
  <c r="W10" i="9" s="1"/>
  <c r="V10" i="9" s="1"/>
  <c r="U10" i="9" s="1"/>
  <c r="K10" i="9"/>
  <c r="L10" i="9" s="1"/>
  <c r="M10" i="9" s="1"/>
  <c r="N10" i="9" s="1"/>
  <c r="O10" i="9" s="1"/>
  <c r="H10" i="9"/>
  <c r="G10" i="9" s="1"/>
  <c r="F10" i="9" s="1"/>
  <c r="E10" i="9" s="1"/>
  <c r="AE7" i="9"/>
  <c r="AD7" i="9"/>
  <c r="AC7" i="9"/>
  <c r="AA7" i="9"/>
  <c r="Z7" i="9"/>
  <c r="Y7" i="9"/>
  <c r="X7" i="9"/>
  <c r="W7" i="9"/>
  <c r="V7" i="9"/>
  <c r="AA6" i="9"/>
  <c r="AB6" i="9" s="1"/>
  <c r="AC6" i="9" s="1"/>
  <c r="AD6" i="9" s="1"/>
  <c r="AE6" i="9" s="1"/>
  <c r="X6" i="9"/>
  <c r="W6" i="9" s="1"/>
  <c r="V6" i="9" s="1"/>
  <c r="U6" i="9" s="1"/>
  <c r="K6" i="9"/>
  <c r="L6" i="9" s="1"/>
  <c r="M6" i="9" s="1"/>
  <c r="N6" i="9" s="1"/>
  <c r="O6" i="9" s="1"/>
  <c r="H6" i="9"/>
  <c r="G6" i="9" s="1"/>
  <c r="F6" i="9" s="1"/>
  <c r="E6" i="9" s="1"/>
  <c r="U7" i="9" s="1"/>
  <c r="AD11" i="9" l="1"/>
  <c r="W11" i="9"/>
  <c r="AB7" i="9"/>
  <c r="AL4" i="9" s="1"/>
  <c r="AF9" i="9" l="1"/>
  <c r="AM4" i="9" s="1"/>
</calcChain>
</file>

<file path=xl/sharedStrings.xml><?xml version="1.0" encoding="utf-8"?>
<sst xmlns="http://schemas.openxmlformats.org/spreadsheetml/2006/main" count="140" uniqueCount="73">
  <si>
    <t>Engagement</t>
  </si>
  <si>
    <t>Energy</t>
  </si>
  <si>
    <t>notes and comments reflecting on energy/engagement log</t>
  </si>
  <si>
    <t>activity logged ID</t>
  </si>
  <si>
    <t>activity title</t>
  </si>
  <si>
    <t>energy score</t>
  </si>
  <si>
    <t>engagement score</t>
  </si>
  <si>
    <t>flow</t>
  </si>
  <si>
    <t>date</t>
  </si>
  <si>
    <t>put an "x" in  box on both scales</t>
  </si>
  <si>
    <t>WORK</t>
  </si>
  <si>
    <t>FULL</t>
  </si>
  <si>
    <t>OUTLINE IN A FEW SENTENCES HOW IT IS ALL WORKING FOR YOU UNDER THIS HEADING AT THE MOMENT</t>
  </si>
  <si>
    <t>PLAY</t>
  </si>
  <si>
    <t>LOVE</t>
  </si>
  <si>
    <t>HEALTH</t>
  </si>
  <si>
    <t>Date of your dashboard assessment of yourself</t>
  </si>
  <si>
    <t>WORKVIEW REFLECTION</t>
  </si>
  <si>
    <t>LIFEVIEW REFLECTION</t>
  </si>
  <si>
    <t xml:space="preserve">In this short piece (250 words) we need you to think about the following questions:
1. Why do you work?
2. What is the point of work for you?
3. What does work mean for you?
4. How does your idea of work relate to you as an individual, to [significant] others in your life and to society as a whole?
5. What does money have to do with why you work?
6. How do you relate the idea/importance of work with experience, growth and fulfillment? </t>
  </si>
  <si>
    <t xml:space="preserve">In this short piece (250 words) we need you to think about the following questions:
1. Why are we here (ok a bit philosophical)?
2. What is the meaning or purpose of life for you?
3. What is the relationship/tensions that exist between you as an individual and others (in your wider lifeworld)?
4. What is the importance of family, country, community/communities and the rest of the World?
5. What is good and what is evil?
6. Is there a "higher power" or a God or something that is transcendent and if so, what impact does this have on your life choices?
7. What is the role of joy, sorrow, justice, injustice, love, peace, and strife in life? </t>
  </si>
  <si>
    <t>compare and constrast your lifeview and your workview - identify where they might complement each other, where there are tensions between them, and which one is the most significant driver for you at this point in time.</t>
  </si>
  <si>
    <t>Overall, how satisfied are you with your life nowadays?</t>
  </si>
  <si>
    <t>Overall, to what extent do you feel that the things you do in your life are worthwhile?</t>
  </si>
  <si>
    <t>Overall, how happy did you feel yesterday?</t>
  </si>
  <si>
    <t>On a scale where 0 is “not at all anxious” and 10 is “completely anxious”, overall, how anxious did you feel yesterday?</t>
  </si>
  <si>
    <t xml:space="preserve">Questions: </t>
  </si>
  <si>
    <t>I would like to ask you four questions about your feelings on aspects of your life. There are no right or wrong answers. For each of these questions I’d like you to give an answer on a scale of 0 to 10, where 0 is “not at all” and 10 is “completely”.</t>
  </si>
  <si>
    <t>Four measures of personal well-being</t>
  </si>
  <si>
    <t>No one need see this - but it is an important step in working out what is the right next step for you - career planning/life design approach needs to encompass you in a more holistic sense than just "getting a job".  So score yourself with an "x" on each dimension.</t>
  </si>
  <si>
    <t>Describe something that you consider to have been a failure</t>
  </si>
  <si>
    <t>category of failure</t>
  </si>
  <si>
    <t>Outline any insights you gained from your "non-success"</t>
  </si>
  <si>
    <t>Date for your failure log:</t>
  </si>
  <si>
    <t>A Growth Opportunity</t>
  </si>
  <si>
    <t>My Weakness</t>
  </si>
  <si>
    <t>A Screwup</t>
  </si>
  <si>
    <t>I can only work out how to move forward if I have a good idea of what makes me tick</t>
  </si>
  <si>
    <t>It is not necessarily knowing the destination that matters but it is knowing what direction I need to be headed in that matters most</t>
  </si>
  <si>
    <t>How am I doing?</t>
  </si>
  <si>
    <t>I choose to reframe things that did not go well for me</t>
  </si>
  <si>
    <r>
      <t xml:space="preserve">Here’s what </t>
    </r>
    <r>
      <rPr>
        <b/>
        <sz val="11"/>
        <color theme="1"/>
        <rFont val="Calibri"/>
        <family val="2"/>
        <scheme val="minor"/>
      </rPr>
      <t>AEIOU</t>
    </r>
    <r>
      <rPr>
        <sz val="11"/>
        <color theme="1"/>
        <rFont val="Calibri"/>
        <family val="2"/>
        <scheme val="minor"/>
      </rPr>
      <t xml:space="preserve"> stands for:</t>
    </r>
  </si>
  <si>
    <r>
      <t>A – Activities:</t>
    </r>
    <r>
      <rPr>
        <sz val="11"/>
        <color theme="1"/>
        <rFont val="Calibri"/>
        <family val="2"/>
        <scheme val="minor"/>
      </rPr>
      <t xml:space="preserve"> What people are doing; their actions and behaviors.</t>
    </r>
  </si>
  <si>
    <r>
      <t>E – Environments:</t>
    </r>
    <r>
      <rPr>
        <sz val="11"/>
        <color theme="1"/>
        <rFont val="Calibri"/>
        <family val="2"/>
        <scheme val="minor"/>
      </rPr>
      <t xml:space="preserve"> The physical, social, or digital spaces where activities occur.</t>
    </r>
  </si>
  <si>
    <r>
      <t>I – Interactions:</t>
    </r>
    <r>
      <rPr>
        <sz val="11"/>
        <color theme="1"/>
        <rFont val="Calibri"/>
        <family val="2"/>
        <scheme val="minor"/>
      </rPr>
      <t xml:space="preserve"> How people and objects (or other people) interact.</t>
    </r>
  </si>
  <si>
    <r>
      <t>O – Objects:</t>
    </r>
    <r>
      <rPr>
        <sz val="11"/>
        <color theme="1"/>
        <rFont val="Calibri"/>
        <family val="2"/>
        <scheme val="minor"/>
      </rPr>
      <t xml:space="preserve"> The tools, artifacts, or items people use.</t>
    </r>
  </si>
  <si>
    <t>describe what you did (and for how long) - using the AEIOU framework</t>
  </si>
  <si>
    <t>E – Environments: The physical, social, or digital spaces where activities occurred.</t>
  </si>
  <si>
    <t>In doing this activity, did I get a sense of "flow"?</t>
  </si>
  <si>
    <t>I – Interactions: How people and objects (or other people) interacted.</t>
  </si>
  <si>
    <t>O – Objects: The tools, artifacts, or items people/you used.</t>
  </si>
  <si>
    <t>U – Users: The people themselves — their/your roles, motivations, and goals.</t>
  </si>
  <si>
    <t>A – Activities: What are you doing; your actions and behaviours.</t>
  </si>
  <si>
    <t>x</t>
  </si>
  <si>
    <t>30/03/2026</t>
  </si>
  <si>
    <t>This year is the one I am currently in the challenging transition phase from general education courses to core major subjects. With all the courses/modules requiring a completely new body of knowledge, I need to shift my study methods to a more efficient approach that fits and actually helps me understand everything they cover. Luckily, I have found that way, and I am enjoying the advanced knowledge I have gained.</t>
  </si>
  <si>
    <t>With the right study habits, I still have some free time to play with my friends and pursue my favourite hobby: coding. To pursue my hobby, I often explore the Internet to eventually create an application for myself. Overall, I can enjoy my free time relaxing while still engaging in my hobby, thanks to my new study method.</t>
  </si>
  <si>
    <t>I actively maintain my social connections in both digital and real-life environments. Online, I am committed to building positive communities by organizing events that encourage everyone to play respectfully. At the same time, I try to expand my academic network by connecting with classmates and senior students in university clubs to learn from their experiences. Besides these activities, I always make an effort to keep in touch with my family and old high school friends through social media, which helps me keep a balanced social life.</t>
  </si>
  <si>
    <t>With my study method, I can manage my time effectively. Every week, I always spend my time doing outdoor activities with my friends to keep my health in good condition. Not only that, but my mother always prepares fresh, healthy meals for me.</t>
  </si>
  <si>
    <t>I believe that work and education are the main ways we improve ourselves and gain advanced knowledge. Currently, as I transition to my core major subjects, I realize that the point of work is not just about passing exams, but about finding efficient methods to truly understand complex information. Work means building practical skills and discipline. For example, learning to study effectively gives me the foundation to pursue my coding hobby and create useful applications. In relation to society, work allows us to become skilled individuals who can contribute positive value to our communities. While money is necessary to support our lives, it is not the only reason I work. True fulfillment and growth come from mastering new knowledge, solving problems, and applying efficient methods to achieve our goals without feeling overwhelmed.</t>
  </si>
  <si>
    <t>To me, the purpose of life is to find happiness through balance, personal hobbies, and meaningful connections with others. We are here to support each other and build positive environments, both in the real world and online. My relationships with my family, high school friends, and university peers form the foundation of my life. For instance, eating healthy meals prepared by my mother or doing outdoor activities with my friends brings me simple but deep joy. I think "good" means creating respectful and supportive spaces—like organizing positive gaming events—while "bad" or "evil" is anything that causes harm or isolates people. Joy comes from these strong social bonds, staying physically healthy, and having the freedom to pursue what I love.</t>
  </si>
  <si>
    <t>At the moment, my Workview and Lifeview complement each other perfectly. Thanks to my efficient study methods and time management skills, I have enough free time to fully enjoy my hobbies, social life, and physical health. There is very little tension between them right now because my studies do not negatively affect my personal time. Instead, the discipline from my Workview gives me more freedom to experience my Lifeview. Currently, my Lifeview is the most significant driver, as maintaining my well-being and strong relationships is my top priority, but it is my Workview that provides the stable structure to make this balanced lifestyle possible.</t>
  </si>
  <si>
    <t>Activity: Studying core major subjects using a new, efficient method</t>
  </si>
  <si>
    <t>YES</t>
  </si>
  <si>
    <t>Date of Activity: 06/9/2025</t>
  </si>
  <si>
    <t xml:space="preserve"> I apply new and effective study methods to truly understand the concepts instead of just memorizing them</t>
  </si>
  <si>
    <t>Home / Academic space</t>
  </si>
  <si>
    <t>The main resources that I used are: my computer, printed materials and my notes from the lecture</t>
  </si>
  <si>
    <t>Interacting deeply with complex academic materials and sometimes discussing with classmates and teachers at the university</t>
  </si>
  <si>
    <t>Learning a completely new body of knowledge for my major courses</t>
  </si>
  <si>
    <t>Normally, I always study alone in my room because my focus is high when I am alone. However, when I need to discuss the topic or the issue I encountered with my friends, I can meet them at the university or the library for a clearer understanding</t>
  </si>
  <si>
    <t>When I encountered an issue, I always looked up the documents related to that topic. But sometimes the documents do not contain the specific answers I need, so I will talk to my classmates or teachers to help me solve my problems</t>
  </si>
  <si>
    <t xml:space="preserve">Date of Activity: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</si>
</sst>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4" x14ac:knownFonts="1">
    <font>
      <sz val="11"/>
      <color theme="1"/>
      <name val="Calibri"/>
      <family val="2"/>
      <scheme val="minor"/>
    </font>
    <font>
      <b/>
      <sz val="12"/>
      <color theme="1"/>
      <name val="Georgia"/>
      <family val="1"/>
    </font>
    <font>
      <sz val="12"/>
      <color theme="1"/>
      <name val="Georgia"/>
      <family val="1"/>
    </font>
    <font>
      <sz val="11"/>
      <color theme="0"/>
      <name val="Calibri"/>
      <family val="2"/>
      <scheme val="minor"/>
    </font>
    <font>
      <sz val="11"/>
      <name val="Calibri"/>
      <family val="2"/>
      <scheme val="minor"/>
    </font>
    <font>
      <i/>
      <sz val="11"/>
      <color theme="1"/>
      <name val="Calibri"/>
      <family val="2"/>
      <scheme val="minor"/>
    </font>
    <font>
      <sz val="8"/>
      <color theme="1"/>
      <name val="Calibri"/>
      <family val="2"/>
      <scheme val="minor"/>
    </font>
    <font>
      <b/>
      <sz val="11"/>
      <color theme="0"/>
      <name val="Calibri"/>
      <family val="2"/>
      <scheme val="minor"/>
    </font>
    <font>
      <sz val="11"/>
      <color theme="1"/>
      <name val="Georgia"/>
      <family val="1"/>
    </font>
    <font>
      <b/>
      <sz val="14"/>
      <color theme="2"/>
      <name val="Georgia"/>
      <family val="1"/>
    </font>
    <font>
      <sz val="18"/>
      <color theme="2"/>
      <name val="Calibri"/>
      <family val="2"/>
      <scheme val="minor"/>
    </font>
    <font>
      <b/>
      <sz val="12"/>
      <color rgb="FF323132"/>
      <name val="Georgia"/>
      <family val="1"/>
    </font>
    <font>
      <sz val="12"/>
      <color rgb="FF323132"/>
      <name val="Georgia"/>
      <family val="1"/>
    </font>
    <font>
      <b/>
      <sz val="14"/>
      <color theme="1"/>
      <name val="Georgia"/>
      <family val="1"/>
    </font>
    <font>
      <b/>
      <sz val="14"/>
      <color theme="1"/>
      <name val="Calibri"/>
      <family val="2"/>
      <scheme val="minor"/>
    </font>
    <font>
      <b/>
      <sz val="12"/>
      <color theme="0"/>
      <name val="Georgia"/>
      <family val="1"/>
    </font>
    <font>
      <b/>
      <sz val="11"/>
      <color theme="0"/>
      <name val="Georgia"/>
      <family val="1"/>
    </font>
    <font>
      <i/>
      <sz val="14"/>
      <color theme="1"/>
      <name val="Georgia"/>
      <family val="1"/>
    </font>
    <font>
      <i/>
      <sz val="14"/>
      <name val="Georgia"/>
      <family val="1"/>
    </font>
    <font>
      <b/>
      <sz val="11"/>
      <color theme="1"/>
      <name val="Calibri"/>
      <family val="2"/>
      <scheme val="minor"/>
    </font>
    <font>
      <sz val="12"/>
      <color theme="1"/>
      <name val="Calibri"/>
      <family val="2"/>
      <scheme val="minor"/>
    </font>
    <font>
      <sz val="14"/>
      <color theme="1"/>
      <name val="Calibri"/>
      <family val="2"/>
      <scheme val="minor"/>
    </font>
    <font>
      <i/>
      <sz val="14"/>
      <color theme="1"/>
      <name val="Calibri"/>
      <family val="2"/>
      <scheme val="minor"/>
    </font>
    <font>
      <sz val="16"/>
      <color theme="1"/>
      <name val="Calibri"/>
      <family val="2"/>
      <scheme val="minor"/>
    </font>
  </fonts>
  <fills count="10">
    <fill>
      <patternFill patternType="none"/>
    </fill>
    <fill>
      <patternFill patternType="gray125"/>
    </fill>
    <fill>
      <patternFill patternType="solid">
        <fgColor theme="1"/>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1" tint="0.149998474074526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rgb="FFD0D2D3"/>
      </bottom>
      <diagonal/>
    </border>
    <border>
      <left/>
      <right/>
      <top style="thick">
        <color rgb="FFD0D2D3"/>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98">
    <xf numFmtId="0" fontId="0" fillId="0" borderId="0" xfId="0"/>
    <xf numFmtId="0" fontId="0" fillId="0" borderId="1" xfId="0" applyBorder="1" applyAlignment="1">
      <alignment wrapText="1"/>
    </xf>
    <xf numFmtId="0" fontId="0" fillId="0" borderId="1" xfId="0" applyBorder="1"/>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5" borderId="7" xfId="0" applyFill="1" applyBorder="1"/>
    <xf numFmtId="164" fontId="0" fillId="0" borderId="1" xfId="0" applyNumberFormat="1" applyBorder="1"/>
    <xf numFmtId="0" fontId="3" fillId="6" borderId="0" xfId="0" applyFont="1" applyFill="1"/>
    <xf numFmtId="0" fontId="3" fillId="6" borderId="6" xfId="0" applyFont="1" applyFill="1" applyBorder="1"/>
    <xf numFmtId="0" fontId="0" fillId="5" borderId="12" xfId="0" applyFill="1" applyBorder="1"/>
    <xf numFmtId="0" fontId="0" fillId="5" borderId="13" xfId="0" applyFill="1" applyBorder="1"/>
    <xf numFmtId="0" fontId="0" fillId="0" borderId="3"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8" fillId="0" borderId="0" xfId="0" applyFont="1" applyAlignment="1">
      <alignment horizontal="right"/>
    </xf>
    <xf numFmtId="0" fontId="0" fillId="7" borderId="0" xfId="0" applyFill="1"/>
    <xf numFmtId="0" fontId="8" fillId="7" borderId="0" xfId="0" applyFont="1" applyFill="1" applyAlignment="1">
      <alignment horizontal="right"/>
    </xf>
    <xf numFmtId="0" fontId="8" fillId="7" borderId="0" xfId="0" applyFont="1" applyFill="1" applyAlignment="1">
      <alignment horizontal="right" vertical="center" wrapText="1"/>
    </xf>
    <xf numFmtId="0" fontId="9" fillId="2" borderId="0" xfId="0" applyFont="1" applyFill="1" applyAlignment="1">
      <alignment horizontal="right"/>
    </xf>
    <xf numFmtId="0" fontId="4" fillId="7" borderId="0" xfId="0" applyFont="1" applyFill="1"/>
    <xf numFmtId="0" fontId="0" fillId="7" borderId="0" xfId="0" applyFill="1" applyAlignment="1">
      <alignment horizontal="left" vertical="center"/>
    </xf>
    <xf numFmtId="0" fontId="10" fillId="2" borderId="1" xfId="0" applyFont="1" applyFill="1" applyBorder="1"/>
    <xf numFmtId="0" fontId="5" fillId="7" borderId="1" xfId="0" applyFont="1" applyFill="1" applyBorder="1" applyAlignment="1">
      <alignment horizontal="left" vertical="center" wrapText="1"/>
    </xf>
    <xf numFmtId="0" fontId="0" fillId="7" borderId="0" xfId="0" applyFill="1" applyAlignment="1">
      <alignment horizontal="left" vertical="center" wrapText="1"/>
    </xf>
    <xf numFmtId="0" fontId="5" fillId="7" borderId="0" xfId="0" applyFont="1" applyFill="1"/>
    <xf numFmtId="0" fontId="12" fillId="8" borderId="1" xfId="0" applyFont="1" applyFill="1" applyBorder="1" applyAlignment="1">
      <alignment horizontal="left" vertical="center" wrapText="1"/>
    </xf>
    <xf numFmtId="0" fontId="13" fillId="7" borderId="0" xfId="0" applyFont="1" applyFill="1" applyAlignment="1">
      <alignment horizontal="left" vertical="center"/>
    </xf>
    <xf numFmtId="0" fontId="13" fillId="7" borderId="0" xfId="0" applyFont="1" applyFill="1" applyAlignment="1">
      <alignment horizontal="left"/>
    </xf>
    <xf numFmtId="0" fontId="14" fillId="7" borderId="0" xfId="0" applyFont="1" applyFill="1" applyAlignment="1">
      <alignment horizontal="left"/>
    </xf>
    <xf numFmtId="0" fontId="15" fillId="9" borderId="1" xfId="0" applyFont="1" applyFill="1" applyBorder="1" applyAlignment="1">
      <alignment horizontal="center" vertical="center"/>
    </xf>
    <xf numFmtId="0" fontId="7" fillId="9" borderId="1" xfId="0" applyFont="1" applyFill="1" applyBorder="1" applyAlignment="1">
      <alignment horizontal="center" vertical="center"/>
    </xf>
    <xf numFmtId="0" fontId="0" fillId="7" borderId="0" xfId="0" applyFill="1" applyAlignment="1">
      <alignment horizontal="right"/>
    </xf>
    <xf numFmtId="0" fontId="0" fillId="7" borderId="0" xfId="0" applyFill="1" applyAlignment="1">
      <alignment horizontal="left"/>
    </xf>
    <xf numFmtId="0" fontId="2" fillId="7" borderId="0" xfId="0" applyFont="1" applyFill="1" applyAlignment="1">
      <alignment vertical="center"/>
    </xf>
    <xf numFmtId="0" fontId="2" fillId="7" borderId="0" xfId="0" applyFont="1" applyFill="1"/>
    <xf numFmtId="0" fontId="12" fillId="7" borderId="14" xfId="0" applyFont="1" applyFill="1" applyBorder="1" applyAlignment="1">
      <alignment horizontal="left" vertical="top" wrapText="1" indent="1"/>
    </xf>
    <xf numFmtId="0" fontId="8" fillId="0" borderId="1" xfId="0" applyFont="1" applyBorder="1" applyAlignment="1">
      <alignment horizontal="right"/>
    </xf>
    <xf numFmtId="0" fontId="11" fillId="7" borderId="15" xfId="0" applyFont="1" applyFill="1" applyBorder="1" applyAlignment="1">
      <alignment horizontal="left" indent="1"/>
    </xf>
    <xf numFmtId="0" fontId="16" fillId="3" borderId="1" xfId="0" applyFont="1" applyFill="1" applyBorder="1" applyAlignment="1">
      <alignment horizontal="center" vertical="center" wrapText="1"/>
    </xf>
    <xf numFmtId="0" fontId="3" fillId="3" borderId="1" xfId="0" applyFont="1" applyFill="1" applyBorder="1" applyAlignment="1">
      <alignment horizontal="right"/>
    </xf>
    <xf numFmtId="0" fontId="0" fillId="0" borderId="0" xfId="0" applyAlignment="1">
      <alignment horizontal="left" vertical="center" indent="1"/>
    </xf>
    <xf numFmtId="0" fontId="19" fillId="0" borderId="0" xfId="0" applyFont="1" applyAlignment="1">
      <alignment horizontal="left" vertical="center" indent="1"/>
    </xf>
    <xf numFmtId="0" fontId="19" fillId="0" borderId="0" xfId="0" applyFont="1" applyAlignment="1">
      <alignment horizontal="left" vertical="center"/>
    </xf>
    <xf numFmtId="0" fontId="3" fillId="6" borderId="0" xfId="0" applyFont="1" applyFill="1" applyAlignment="1">
      <alignment horizontal="left" vertical="center"/>
    </xf>
    <xf numFmtId="0" fontId="0" fillId="5" borderId="0" xfId="0" applyFill="1"/>
    <xf numFmtId="0" fontId="0" fillId="5" borderId="0" xfId="0" applyFill="1" applyAlignment="1">
      <alignment horizontal="center"/>
    </xf>
    <xf numFmtId="15" fontId="0" fillId="0" borderId="1" xfId="0" applyNumberFormat="1" applyBorder="1" applyAlignment="1">
      <alignment horizontal="center"/>
    </xf>
    <xf numFmtId="0" fontId="21" fillId="4" borderId="2" xfId="0" applyFont="1" applyFill="1" applyBorder="1" applyAlignment="1">
      <alignment horizontal="center" vertical="center"/>
    </xf>
    <xf numFmtId="0" fontId="21" fillId="4" borderId="9" xfId="0" applyFont="1" applyFill="1" applyBorder="1"/>
    <xf numFmtId="0" fontId="0" fillId="5" borderId="5" xfId="0" applyFill="1" applyBorder="1"/>
    <xf numFmtId="0" fontId="0" fillId="0" borderId="1" xfId="0" applyBorder="1" applyAlignment="1">
      <alignment horizontal="left" vertical="top" wrapText="1"/>
    </xf>
    <xf numFmtId="0" fontId="0" fillId="0" borderId="0" xfId="0" applyAlignment="1">
      <alignment horizontal="left" vertical="top" wrapText="1"/>
    </xf>
    <xf numFmtId="0" fontId="17" fillId="0" borderId="0" xfId="0" applyFont="1" applyAlignment="1">
      <alignment horizontal="left"/>
    </xf>
    <xf numFmtId="0" fontId="13" fillId="0" borderId="0" xfId="0" applyFont="1" applyAlignment="1">
      <alignment horizontal="left"/>
    </xf>
    <xf numFmtId="0" fontId="1" fillId="7" borderId="0" xfId="0" applyFont="1" applyFill="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5" fillId="0" borderId="0" xfId="0" applyFont="1" applyAlignment="1">
      <alignment horizontal="right" vertical="center" wrapText="1"/>
    </xf>
    <xf numFmtId="15" fontId="0" fillId="0" borderId="1" xfId="0" applyNumberFormat="1" applyBorder="1" applyAlignment="1">
      <alignment horizontal="left" vertical="center"/>
    </xf>
    <xf numFmtId="0" fontId="0" fillId="0" borderId="1" xfId="0" applyBorder="1" applyAlignment="1">
      <alignment horizontal="left" vertical="center"/>
    </xf>
    <xf numFmtId="0" fontId="0" fillId="0" borderId="19" xfId="0" applyBorder="1" applyAlignment="1">
      <alignment horizontal="left" vertical="top" wrapText="1"/>
    </xf>
    <xf numFmtId="0" fontId="0" fillId="0" borderId="17" xfId="0" applyBorder="1" applyAlignment="1">
      <alignment horizontal="left" vertical="top" wrapText="1"/>
    </xf>
    <xf numFmtId="0" fontId="0" fillId="0" borderId="16" xfId="0" applyBorder="1" applyAlignment="1">
      <alignment horizontal="left" vertical="top" wrapText="1"/>
    </xf>
    <xf numFmtId="0" fontId="18" fillId="7" borderId="0" xfId="0" applyFont="1" applyFill="1" applyAlignment="1">
      <alignment horizontal="left"/>
    </xf>
    <xf numFmtId="0" fontId="17" fillId="0" borderId="0" xfId="0" applyFont="1" applyAlignment="1">
      <alignment horizontal="left" vertical="center"/>
    </xf>
    <xf numFmtId="0" fontId="6" fillId="0" borderId="11" xfId="0" applyFont="1" applyBorder="1" applyAlignment="1">
      <alignment horizontal="left" vertical="center"/>
    </xf>
    <xf numFmtId="0" fontId="0" fillId="0" borderId="3" xfId="0" applyBorder="1" applyAlignment="1">
      <alignment horizontal="left"/>
    </xf>
    <xf numFmtId="0" fontId="0" fillId="0" borderId="1" xfId="0" applyBorder="1" applyAlignment="1">
      <alignment horizontal="left"/>
    </xf>
    <xf numFmtId="0" fontId="22" fillId="4" borderId="3" xfId="0" applyFont="1" applyFill="1" applyBorder="1" applyAlignment="1">
      <alignment horizontal="left"/>
    </xf>
    <xf numFmtId="0" fontId="22" fillId="4" borderId="1" xfId="0" applyFont="1" applyFill="1" applyBorder="1" applyAlignment="1">
      <alignment horizontal="left"/>
    </xf>
    <xf numFmtId="0" fontId="21" fillId="4" borderId="3"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0" fillId="5" borderId="7" xfId="0" applyFill="1" applyBorder="1" applyAlignment="1">
      <alignment horizontal="center"/>
    </xf>
    <xf numFmtId="0" fontId="0" fillId="4" borderId="1" xfId="0" applyFill="1" applyBorder="1" applyAlignment="1">
      <alignment horizontal="center"/>
    </xf>
    <xf numFmtId="0" fontId="20" fillId="0" borderId="19" xfId="0" applyFont="1" applyBorder="1" applyAlignment="1">
      <alignment horizontal="right" vertical="center" wrapText="1"/>
    </xf>
    <xf numFmtId="0" fontId="20" fillId="0" borderId="17" xfId="0" applyFont="1" applyBorder="1" applyAlignment="1">
      <alignment horizontal="right" vertical="center" wrapText="1"/>
    </xf>
    <xf numFmtId="0" fontId="20" fillId="0" borderId="16" xfId="0" applyFont="1" applyBorder="1" applyAlignment="1">
      <alignment horizontal="right" vertical="center" wrapText="1"/>
    </xf>
    <xf numFmtId="0" fontId="23" fillId="4" borderId="1" xfId="0" applyFont="1" applyFill="1" applyBorder="1" applyAlignment="1">
      <alignment horizontal="center" vertical="center" wrapText="1"/>
    </xf>
    <xf numFmtId="0" fontId="23" fillId="4" borderId="4"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4" xfId="0" applyFill="1" applyBorder="1" applyAlignment="1">
      <alignment horizontal="center" vertical="center" wrapText="1"/>
    </xf>
    <xf numFmtId="0" fontId="0" fillId="5" borderId="1" xfId="0" applyFill="1" applyBorder="1" applyAlignment="1">
      <alignment horizontal="center"/>
    </xf>
    <xf numFmtId="0" fontId="0" fillId="5" borderId="4" xfId="0" applyFill="1" applyBorder="1" applyAlignment="1">
      <alignment horizontal="center"/>
    </xf>
    <xf numFmtId="0" fontId="0" fillId="5" borderId="10" xfId="0" applyFill="1" applyBorder="1" applyAlignment="1">
      <alignment horizontal="center"/>
    </xf>
    <xf numFmtId="0" fontId="0" fillId="5" borderId="18" xfId="0" applyFill="1" applyBorder="1" applyAlignment="1">
      <alignment horizontal="center"/>
    </xf>
    <xf numFmtId="0" fontId="21" fillId="4" borderId="3" xfId="0" applyFont="1" applyFill="1" applyBorder="1" applyAlignment="1">
      <alignment horizontal="left" vertical="center"/>
    </xf>
    <xf numFmtId="0" fontId="21" fillId="4" borderId="1" xfId="0" applyFont="1" applyFill="1" applyBorder="1" applyAlignment="1">
      <alignment horizontal="left" vertical="center"/>
    </xf>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8"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5" borderId="1" xfId="0" applyFill="1" applyBorder="1" applyAlignment="1">
      <alignment horizontal="center" vertical="center"/>
    </xf>
    <xf numFmtId="0" fontId="0" fillId="5" borderId="4" xfId="0" applyFill="1" applyBorder="1" applyAlignment="1">
      <alignment horizontal="center" vertical="center"/>
    </xf>
    <xf numFmtId="0" fontId="16" fillId="3" borderId="1" xfId="0" applyFont="1" applyFill="1" applyBorder="1" applyAlignment="1">
      <alignment horizontal="left" vertical="center" wrapText="1"/>
    </xf>
    <xf numFmtId="0" fontId="16" fillId="3" borderId="1" xfId="0" applyFont="1" applyFill="1" applyBorder="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v>Engagement</c:v>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template'!$AF$9</c:f>
              <c:numCache>
                <c:formatCode>General</c:formatCode>
                <c:ptCount val="1"/>
                <c:pt idx="0">
                  <c:v>4</c:v>
                </c:pt>
              </c:numCache>
            </c:numRef>
          </c:val>
          <c:extLst>
            <c:ext xmlns:c16="http://schemas.microsoft.com/office/drawing/2014/chart" uri="{C3380CC4-5D6E-409C-BE32-E72D297353CC}">
              <c16:uniqueId val="{00000001-AC85-46D9-81BB-165C75D41A98}"/>
            </c:ext>
          </c:extLst>
        </c:ser>
        <c:ser>
          <c:idx val="0"/>
          <c:order val="1"/>
          <c:tx>
            <c:v>Energy</c:v>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template'!$AF$8</c:f>
              <c:numCache>
                <c:formatCode>General</c:formatCode>
                <c:ptCount val="1"/>
                <c:pt idx="0">
                  <c:v>3</c:v>
                </c:pt>
              </c:numCache>
            </c:numRef>
          </c:val>
          <c:extLst>
            <c:ext xmlns:c16="http://schemas.microsoft.com/office/drawing/2014/chart" uri="{C3380CC4-5D6E-409C-BE32-E72D297353CC}">
              <c16:uniqueId val="{00000000-AC85-46D9-81BB-165C75D41A98}"/>
            </c:ext>
          </c:extLst>
        </c:ser>
        <c:dLbls>
          <c:dLblPos val="inEnd"/>
          <c:showLegendKey val="0"/>
          <c:showVal val="1"/>
          <c:showCatName val="0"/>
          <c:showSerName val="0"/>
          <c:showPercent val="0"/>
          <c:showBubbleSize val="0"/>
        </c:dLbls>
        <c:gapWidth val="227"/>
        <c:overlap val="-48"/>
        <c:axId val="1061839936"/>
        <c:axId val="1061840416"/>
      </c:barChart>
      <c:catAx>
        <c:axId val="1061839936"/>
        <c:scaling>
          <c:orientation val="minMax"/>
        </c:scaling>
        <c:delete val="1"/>
        <c:axPos val="l"/>
        <c:numFmt formatCode="General" sourceLinked="1"/>
        <c:majorTickMark val="none"/>
        <c:minorTickMark val="none"/>
        <c:tickLblPos val="nextTo"/>
        <c:crossAx val="1061840416"/>
        <c:crosses val="autoZero"/>
        <c:auto val="1"/>
        <c:lblAlgn val="ctr"/>
        <c:lblOffset val="100"/>
        <c:noMultiLvlLbl val="0"/>
      </c:catAx>
      <c:valAx>
        <c:axId val="1061840416"/>
        <c:scaling>
          <c:orientation val="minMax"/>
          <c:max val="5"/>
          <c:min val="-5"/>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839936"/>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v>Engagement</c:v>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template'!$AF$9</c:f>
              <c:numCache>
                <c:formatCode>General</c:formatCode>
                <c:ptCount val="1"/>
                <c:pt idx="0">
                  <c:v>4</c:v>
                </c:pt>
              </c:numCache>
            </c:numRef>
          </c:val>
          <c:extLst>
            <c:ext xmlns:c16="http://schemas.microsoft.com/office/drawing/2014/chart" uri="{C3380CC4-5D6E-409C-BE32-E72D297353CC}">
              <c16:uniqueId val="{00000000-7CD4-4ADE-94CE-3FCEE5D6FCB5}"/>
            </c:ext>
          </c:extLst>
        </c:ser>
        <c:ser>
          <c:idx val="0"/>
          <c:order val="1"/>
          <c:tx>
            <c:v>Energy</c:v>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template'!$AF$8</c:f>
              <c:numCache>
                <c:formatCode>General</c:formatCode>
                <c:ptCount val="1"/>
                <c:pt idx="0">
                  <c:v>3</c:v>
                </c:pt>
              </c:numCache>
            </c:numRef>
          </c:val>
          <c:extLst>
            <c:ext xmlns:c16="http://schemas.microsoft.com/office/drawing/2014/chart" uri="{C3380CC4-5D6E-409C-BE32-E72D297353CC}">
              <c16:uniqueId val="{00000001-7CD4-4ADE-94CE-3FCEE5D6FCB5}"/>
            </c:ext>
          </c:extLst>
        </c:ser>
        <c:dLbls>
          <c:dLblPos val="inEnd"/>
          <c:showLegendKey val="0"/>
          <c:showVal val="1"/>
          <c:showCatName val="0"/>
          <c:showSerName val="0"/>
          <c:showPercent val="0"/>
          <c:showBubbleSize val="0"/>
        </c:dLbls>
        <c:gapWidth val="227"/>
        <c:overlap val="-48"/>
        <c:axId val="1061839936"/>
        <c:axId val="1061840416"/>
      </c:barChart>
      <c:catAx>
        <c:axId val="1061839936"/>
        <c:scaling>
          <c:orientation val="minMax"/>
        </c:scaling>
        <c:delete val="1"/>
        <c:axPos val="l"/>
        <c:numFmt formatCode="General" sourceLinked="1"/>
        <c:majorTickMark val="none"/>
        <c:minorTickMark val="none"/>
        <c:tickLblPos val="nextTo"/>
        <c:crossAx val="1061840416"/>
        <c:crosses val="autoZero"/>
        <c:auto val="1"/>
        <c:lblAlgn val="ctr"/>
        <c:lblOffset val="100"/>
        <c:noMultiLvlLbl val="0"/>
      </c:catAx>
      <c:valAx>
        <c:axId val="1061840416"/>
        <c:scaling>
          <c:orientation val="minMax"/>
          <c:max val="5"/>
          <c:min val="-5"/>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839936"/>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482600</xdr:colOff>
      <xdr:row>3</xdr:row>
      <xdr:rowOff>171450</xdr:rowOff>
    </xdr:from>
    <xdr:to>
      <xdr:col>2</xdr:col>
      <xdr:colOff>2778125</xdr:colOff>
      <xdr:row>16</xdr:row>
      <xdr:rowOff>150414</xdr:rowOff>
    </xdr:to>
    <xdr:pic>
      <xdr:nvPicPr>
        <xdr:cNvPr id="4" name="Picture 3" descr="You Are Here PNG Transparent Images Free Download | Vector Files | Pngtree">
          <a:extLst>
            <a:ext uri="{FF2B5EF4-FFF2-40B4-BE49-F238E27FC236}">
              <a16:creationId xmlns:a16="http://schemas.microsoft.com/office/drawing/2014/main" id="{E9D0873A-70CC-8F7F-3BF9-5D417C2B5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1800" y="352425"/>
          <a:ext cx="2371725" cy="2331639"/>
        </a:xfrm>
        <a:prstGeom prst="rect">
          <a:avLst/>
        </a:prstGeom>
        <a:solidFill>
          <a:schemeClr val="bg1">
            <a:lumMod val="95000"/>
          </a:schemeClr>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577851</xdr:colOff>
      <xdr:row>3</xdr:row>
      <xdr:rowOff>171450</xdr:rowOff>
    </xdr:from>
    <xdr:to>
      <xdr:col>17</xdr:col>
      <xdr:colOff>2962274</xdr:colOff>
      <xdr:row>12</xdr:row>
      <xdr:rowOff>273050</xdr:rowOff>
    </xdr:to>
    <xdr:graphicFrame macro="">
      <xdr:nvGraphicFramePr>
        <xdr:cNvPr id="2" name="Chart 1">
          <a:extLst>
            <a:ext uri="{FF2B5EF4-FFF2-40B4-BE49-F238E27FC236}">
              <a16:creationId xmlns:a16="http://schemas.microsoft.com/office/drawing/2014/main" id="{85F3E1D5-E88F-A9FD-697C-F36973826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577851</xdr:colOff>
      <xdr:row>29</xdr:row>
      <xdr:rowOff>171450</xdr:rowOff>
    </xdr:from>
    <xdr:to>
      <xdr:col>17</xdr:col>
      <xdr:colOff>2962274</xdr:colOff>
      <xdr:row>38</xdr:row>
      <xdr:rowOff>273050</xdr:rowOff>
    </xdr:to>
    <xdr:graphicFrame macro="">
      <xdr:nvGraphicFramePr>
        <xdr:cNvPr id="7" name="Chart 6">
          <a:extLst>
            <a:ext uri="{FF2B5EF4-FFF2-40B4-BE49-F238E27FC236}">
              <a16:creationId xmlns:a16="http://schemas.microsoft.com/office/drawing/2014/main" id="{68A9E1AA-4700-4F5C-9FC5-23146A411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AAE7-AC1E-4F6A-831B-31B29DBFB718}">
  <dimension ref="B2:P55"/>
  <sheetViews>
    <sheetView topLeftCell="A39" workbookViewId="0">
      <selection activeCell="E34" sqref="E34:O34"/>
    </sheetView>
  </sheetViews>
  <sheetFormatPr defaultRowHeight="15" x14ac:dyDescent="0.25"/>
  <cols>
    <col min="1" max="2" width="2.5703125" customWidth="1"/>
    <col min="3" max="3" width="41.7109375" style="15" customWidth="1"/>
    <col min="4" max="4" width="5.5703125" customWidth="1"/>
    <col min="5" max="15" width="6.5703125" customWidth="1"/>
    <col min="16" max="16" width="4.5703125" customWidth="1"/>
  </cols>
  <sheetData>
    <row r="2" spans="2:16" ht="18" x14ac:dyDescent="0.25">
      <c r="B2" s="53" t="s">
        <v>39</v>
      </c>
      <c r="C2" s="54"/>
      <c r="D2" s="54"/>
      <c r="E2" s="54"/>
      <c r="F2" s="54"/>
      <c r="G2" s="54"/>
      <c r="H2" s="54"/>
      <c r="I2" s="54"/>
      <c r="J2" s="54"/>
      <c r="K2" s="54"/>
      <c r="L2" s="54"/>
      <c r="M2" s="54"/>
      <c r="N2" s="54"/>
      <c r="O2" s="54"/>
      <c r="P2" s="54"/>
    </row>
    <row r="4" spans="2:16" x14ac:dyDescent="0.25">
      <c r="B4" s="16"/>
      <c r="C4" s="17"/>
      <c r="D4" s="16"/>
      <c r="E4" s="16"/>
      <c r="F4" s="16"/>
      <c r="G4" s="16"/>
      <c r="H4" s="16"/>
      <c r="I4" s="16"/>
      <c r="J4" s="16"/>
      <c r="K4" s="16"/>
      <c r="L4" s="16"/>
      <c r="M4" s="16"/>
      <c r="N4" s="16"/>
      <c r="O4" s="16"/>
      <c r="P4" s="16"/>
    </row>
    <row r="5" spans="2:16" x14ac:dyDescent="0.25">
      <c r="B5" s="16"/>
      <c r="C5" s="17"/>
      <c r="D5" s="16"/>
      <c r="E5" s="58" t="s">
        <v>29</v>
      </c>
      <c r="F5" s="58"/>
      <c r="G5" s="58"/>
      <c r="H5" s="58"/>
      <c r="I5" s="58"/>
      <c r="J5" s="58"/>
      <c r="K5" s="58"/>
      <c r="L5" s="58"/>
      <c r="M5" s="58"/>
      <c r="N5" s="58"/>
      <c r="O5" s="16"/>
      <c r="P5" s="16"/>
    </row>
    <row r="6" spans="2:16" x14ac:dyDescent="0.25">
      <c r="B6" s="16"/>
      <c r="C6" s="17"/>
      <c r="D6" s="16"/>
      <c r="E6" s="58"/>
      <c r="F6" s="58"/>
      <c r="G6" s="58"/>
      <c r="H6" s="58"/>
      <c r="I6" s="58"/>
      <c r="J6" s="58"/>
      <c r="K6" s="58"/>
      <c r="L6" s="58"/>
      <c r="M6" s="58"/>
      <c r="N6" s="58"/>
      <c r="O6" s="16"/>
      <c r="P6" s="16"/>
    </row>
    <row r="7" spans="2:16" x14ac:dyDescent="0.25">
      <c r="B7" s="16"/>
      <c r="C7" s="17"/>
      <c r="D7" s="16"/>
      <c r="E7" s="58"/>
      <c r="F7" s="58"/>
      <c r="G7" s="58"/>
      <c r="H7" s="58"/>
      <c r="I7" s="58"/>
      <c r="J7" s="58"/>
      <c r="K7" s="58"/>
      <c r="L7" s="58"/>
      <c r="M7" s="58"/>
      <c r="N7" s="58"/>
      <c r="O7" s="16"/>
      <c r="P7" s="16"/>
    </row>
    <row r="8" spans="2:16" x14ac:dyDescent="0.25">
      <c r="B8" s="16"/>
      <c r="C8" s="17"/>
      <c r="D8" s="16"/>
      <c r="E8" s="58"/>
      <c r="F8" s="58"/>
      <c r="G8" s="58"/>
      <c r="H8" s="58"/>
      <c r="I8" s="58"/>
      <c r="J8" s="58"/>
      <c r="K8" s="58"/>
      <c r="L8" s="58"/>
      <c r="M8" s="58"/>
      <c r="N8" s="58"/>
      <c r="O8" s="16"/>
      <c r="P8" s="16"/>
    </row>
    <row r="9" spans="2:16" x14ac:dyDescent="0.25">
      <c r="B9" s="16"/>
      <c r="C9" s="17"/>
      <c r="D9" s="16"/>
      <c r="E9" s="58"/>
      <c r="F9" s="58"/>
      <c r="G9" s="58"/>
      <c r="H9" s="58"/>
      <c r="I9" s="58"/>
      <c r="J9" s="58"/>
      <c r="K9" s="58"/>
      <c r="L9" s="58"/>
      <c r="M9" s="58"/>
      <c r="N9" s="58"/>
      <c r="O9" s="16"/>
      <c r="P9" s="16"/>
    </row>
    <row r="10" spans="2:16" x14ac:dyDescent="0.25">
      <c r="B10" s="16"/>
      <c r="C10" s="17"/>
      <c r="D10" s="16"/>
      <c r="E10" s="58"/>
      <c r="F10" s="58"/>
      <c r="G10" s="58"/>
      <c r="H10" s="58"/>
      <c r="I10" s="58"/>
      <c r="J10" s="58"/>
      <c r="K10" s="58"/>
      <c r="L10" s="58"/>
      <c r="M10" s="58"/>
      <c r="N10" s="58"/>
      <c r="O10" s="16"/>
      <c r="P10" s="16"/>
    </row>
    <row r="11" spans="2:16" x14ac:dyDescent="0.25">
      <c r="B11" s="16"/>
      <c r="C11" s="17"/>
      <c r="D11" s="16"/>
      <c r="E11" s="58"/>
      <c r="F11" s="58"/>
      <c r="G11" s="58"/>
      <c r="H11" s="58"/>
      <c r="I11" s="58"/>
      <c r="J11" s="58"/>
      <c r="K11" s="58"/>
      <c r="L11" s="58"/>
      <c r="M11" s="58"/>
      <c r="N11" s="58"/>
      <c r="O11" s="16"/>
      <c r="P11" s="16"/>
    </row>
    <row r="12" spans="2:16" x14ac:dyDescent="0.25">
      <c r="B12" s="16"/>
      <c r="C12" s="17"/>
      <c r="D12" s="16"/>
      <c r="E12" s="58"/>
      <c r="F12" s="58"/>
      <c r="G12" s="58"/>
      <c r="H12" s="58"/>
      <c r="I12" s="58"/>
      <c r="J12" s="58"/>
      <c r="K12" s="58"/>
      <c r="L12" s="58"/>
      <c r="M12" s="58"/>
      <c r="N12" s="58"/>
      <c r="O12" s="16"/>
      <c r="P12" s="16"/>
    </row>
    <row r="13" spans="2:16" x14ac:dyDescent="0.25">
      <c r="B13" s="16"/>
      <c r="C13" s="17"/>
      <c r="D13" s="16"/>
      <c r="E13" s="58"/>
      <c r="F13" s="58"/>
      <c r="G13" s="58"/>
      <c r="H13" s="58"/>
      <c r="I13" s="58"/>
      <c r="J13" s="58"/>
      <c r="K13" s="58"/>
      <c r="L13" s="58"/>
      <c r="M13" s="58"/>
      <c r="N13" s="58"/>
      <c r="O13" s="16"/>
      <c r="P13" s="16"/>
    </row>
    <row r="14" spans="2:16" x14ac:dyDescent="0.25">
      <c r="B14" s="16"/>
      <c r="C14" s="17"/>
      <c r="D14" s="16"/>
      <c r="E14" s="58"/>
      <c r="F14" s="58"/>
      <c r="G14" s="58"/>
      <c r="H14" s="58"/>
      <c r="I14" s="58"/>
      <c r="J14" s="58"/>
      <c r="K14" s="58"/>
      <c r="L14" s="58"/>
      <c r="M14" s="58"/>
      <c r="N14" s="58"/>
      <c r="O14" s="16"/>
      <c r="P14" s="16"/>
    </row>
    <row r="15" spans="2:16" x14ac:dyDescent="0.25">
      <c r="B15" s="16"/>
      <c r="C15" s="17"/>
      <c r="D15" s="16"/>
      <c r="E15" s="58"/>
      <c r="F15" s="58"/>
      <c r="G15" s="58"/>
      <c r="H15" s="58"/>
      <c r="I15" s="58"/>
      <c r="J15" s="58"/>
      <c r="K15" s="58"/>
      <c r="L15" s="58"/>
      <c r="M15" s="58"/>
      <c r="N15" s="58"/>
      <c r="O15" s="16"/>
      <c r="P15" s="16"/>
    </row>
    <row r="16" spans="2:16" x14ac:dyDescent="0.25">
      <c r="B16" s="16"/>
      <c r="C16" s="17"/>
      <c r="D16" s="16"/>
      <c r="E16" s="58"/>
      <c r="F16" s="58"/>
      <c r="G16" s="58"/>
      <c r="H16" s="58"/>
      <c r="I16" s="58"/>
      <c r="J16" s="58"/>
      <c r="K16" s="58"/>
      <c r="L16" s="58"/>
      <c r="M16" s="58"/>
      <c r="N16" s="58"/>
      <c r="O16" s="16"/>
      <c r="P16" s="16"/>
    </row>
    <row r="17" spans="2:16" x14ac:dyDescent="0.25">
      <c r="B17" s="16"/>
      <c r="C17" s="17"/>
      <c r="D17" s="16"/>
      <c r="E17" s="58"/>
      <c r="F17" s="58"/>
      <c r="G17" s="58"/>
      <c r="H17" s="58"/>
      <c r="I17" s="58"/>
      <c r="J17" s="58"/>
      <c r="K17" s="58"/>
      <c r="L17" s="58"/>
      <c r="M17" s="58"/>
      <c r="N17" s="58"/>
      <c r="O17" s="16"/>
      <c r="P17" s="16"/>
    </row>
    <row r="18" spans="2:16" x14ac:dyDescent="0.25">
      <c r="B18" s="16"/>
      <c r="C18" s="17"/>
      <c r="D18" s="16"/>
      <c r="E18" s="16"/>
      <c r="F18" s="16"/>
      <c r="G18" s="16"/>
      <c r="H18" s="16"/>
      <c r="I18" s="16"/>
      <c r="J18" s="16"/>
      <c r="K18" s="16"/>
      <c r="L18" s="16"/>
      <c r="M18" s="16"/>
      <c r="N18" s="16"/>
      <c r="O18" s="16"/>
      <c r="P18" s="16"/>
    </row>
    <row r="19" spans="2:16" x14ac:dyDescent="0.25">
      <c r="B19" s="16"/>
      <c r="C19" s="17" t="s">
        <v>16</v>
      </c>
      <c r="D19" s="16"/>
      <c r="E19" s="59" t="s">
        <v>54</v>
      </c>
      <c r="F19" s="60"/>
      <c r="G19" s="60"/>
      <c r="H19" s="60"/>
      <c r="I19" s="60"/>
      <c r="J19" s="60"/>
      <c r="K19" s="60"/>
      <c r="L19" s="60"/>
      <c r="M19" s="60"/>
      <c r="N19" s="60"/>
      <c r="O19" s="16"/>
      <c r="P19" s="16"/>
    </row>
    <row r="20" spans="2:16" x14ac:dyDescent="0.25">
      <c r="B20" s="16"/>
      <c r="C20" s="17"/>
      <c r="D20" s="16"/>
      <c r="E20" s="16"/>
      <c r="F20" s="16"/>
      <c r="G20" s="16"/>
      <c r="H20" s="16"/>
      <c r="I20" s="16"/>
      <c r="J20" s="16"/>
      <c r="K20" s="16"/>
      <c r="L20" s="16"/>
      <c r="M20" s="16"/>
      <c r="N20" s="16"/>
      <c r="O20" s="16"/>
      <c r="P20" s="16"/>
    </row>
    <row r="21" spans="2:16" x14ac:dyDescent="0.25">
      <c r="B21" s="16"/>
      <c r="C21" s="17"/>
      <c r="D21" s="16"/>
      <c r="E21" s="33">
        <v>0</v>
      </c>
      <c r="F21" s="16"/>
      <c r="G21" s="16"/>
      <c r="H21" s="16"/>
      <c r="I21" s="16"/>
      <c r="J21" s="16"/>
      <c r="K21" s="16"/>
      <c r="L21" s="16"/>
      <c r="M21" s="16"/>
      <c r="N21" s="32"/>
      <c r="O21" s="32" t="s">
        <v>11</v>
      </c>
      <c r="P21" s="16"/>
    </row>
    <row r="22" spans="2:16" ht="18" x14ac:dyDescent="0.25">
      <c r="B22" s="16"/>
      <c r="C22" s="19" t="s">
        <v>10</v>
      </c>
      <c r="D22" s="16"/>
      <c r="E22" s="2" t="s">
        <v>53</v>
      </c>
      <c r="F22" s="2" t="s">
        <v>53</v>
      </c>
      <c r="G22" s="2" t="s">
        <v>53</v>
      </c>
      <c r="H22" s="2" t="s">
        <v>53</v>
      </c>
      <c r="I22" s="2" t="s">
        <v>53</v>
      </c>
      <c r="J22" s="2" t="s">
        <v>53</v>
      </c>
      <c r="K22" s="2" t="s">
        <v>53</v>
      </c>
      <c r="L22" s="2" t="s">
        <v>53</v>
      </c>
      <c r="M22" s="2" t="s">
        <v>53</v>
      </c>
      <c r="N22" s="2"/>
      <c r="O22" s="2"/>
      <c r="P22" s="16"/>
    </row>
    <row r="23" spans="2:16" x14ac:dyDescent="0.25">
      <c r="B23" s="16"/>
      <c r="C23" s="17"/>
      <c r="D23" s="16"/>
      <c r="E23" s="16"/>
      <c r="F23" s="16"/>
      <c r="G23" s="16"/>
      <c r="H23" s="16"/>
      <c r="I23" s="16"/>
      <c r="J23" s="16"/>
      <c r="K23" s="16"/>
      <c r="L23" s="16"/>
      <c r="M23" s="16"/>
      <c r="N23" s="16"/>
      <c r="O23" s="16"/>
      <c r="P23" s="16"/>
    </row>
    <row r="24" spans="2:16" ht="180" customHeight="1" x14ac:dyDescent="0.25">
      <c r="B24" s="16"/>
      <c r="C24" s="18" t="s">
        <v>12</v>
      </c>
      <c r="D24" s="16"/>
      <c r="E24" s="56" t="s">
        <v>55</v>
      </c>
      <c r="F24" s="57"/>
      <c r="G24" s="57"/>
      <c r="H24" s="57"/>
      <c r="I24" s="57"/>
      <c r="J24" s="57"/>
      <c r="K24" s="57"/>
      <c r="L24" s="57"/>
      <c r="M24" s="57"/>
      <c r="N24" s="57"/>
      <c r="O24" s="57"/>
      <c r="P24" s="16"/>
    </row>
    <row r="25" spans="2:16" x14ac:dyDescent="0.25">
      <c r="B25" s="16"/>
      <c r="C25" s="17"/>
      <c r="D25" s="16"/>
      <c r="E25" s="16"/>
      <c r="F25" s="16"/>
      <c r="G25" s="16"/>
      <c r="H25" s="16"/>
      <c r="I25" s="16"/>
      <c r="J25" s="16"/>
      <c r="K25" s="16"/>
      <c r="L25" s="16"/>
      <c r="M25" s="16"/>
      <c r="N25" s="16"/>
      <c r="O25" s="16"/>
      <c r="P25" s="16"/>
    </row>
    <row r="26" spans="2:16" x14ac:dyDescent="0.25">
      <c r="B26" s="16"/>
      <c r="C26" s="17"/>
      <c r="D26" s="16"/>
      <c r="E26" s="33">
        <v>0</v>
      </c>
      <c r="F26" s="16"/>
      <c r="G26" s="16"/>
      <c r="H26" s="16"/>
      <c r="I26" s="16"/>
      <c r="J26" s="16"/>
      <c r="K26" s="16"/>
      <c r="L26" s="16"/>
      <c r="M26" s="16"/>
      <c r="N26" s="32"/>
      <c r="O26" s="32" t="s">
        <v>11</v>
      </c>
      <c r="P26" s="16"/>
    </row>
    <row r="27" spans="2:16" ht="18" x14ac:dyDescent="0.25">
      <c r="B27" s="16"/>
      <c r="C27" s="19" t="s">
        <v>13</v>
      </c>
      <c r="D27" s="16"/>
      <c r="E27" s="2" t="s">
        <v>53</v>
      </c>
      <c r="F27" s="2" t="s">
        <v>53</v>
      </c>
      <c r="G27" s="2" t="s">
        <v>53</v>
      </c>
      <c r="H27" s="2" t="s">
        <v>53</v>
      </c>
      <c r="I27" s="2" t="s">
        <v>53</v>
      </c>
      <c r="J27" s="2" t="s">
        <v>53</v>
      </c>
      <c r="K27" s="2" t="s">
        <v>53</v>
      </c>
      <c r="L27" s="2" t="s">
        <v>53</v>
      </c>
      <c r="M27" s="2" t="s">
        <v>53</v>
      </c>
      <c r="N27" s="2" t="s">
        <v>53</v>
      </c>
      <c r="O27" s="2"/>
      <c r="P27" s="16"/>
    </row>
    <row r="28" spans="2:16" x14ac:dyDescent="0.25">
      <c r="B28" s="16"/>
      <c r="C28" s="17"/>
      <c r="D28" s="16"/>
      <c r="E28" s="16"/>
      <c r="F28" s="16"/>
      <c r="G28" s="16"/>
      <c r="H28" s="16"/>
      <c r="I28" s="16"/>
      <c r="J28" s="16"/>
      <c r="K28" s="16"/>
      <c r="L28" s="16"/>
      <c r="M28" s="16"/>
      <c r="N28" s="16"/>
      <c r="O28" s="16"/>
      <c r="P28" s="16"/>
    </row>
    <row r="29" spans="2:16" ht="180" customHeight="1" x14ac:dyDescent="0.25">
      <c r="B29" s="16"/>
      <c r="C29" s="18" t="s">
        <v>12</v>
      </c>
      <c r="D29" s="16"/>
      <c r="E29" s="56" t="s">
        <v>56</v>
      </c>
      <c r="F29" s="57"/>
      <c r="G29" s="57"/>
      <c r="H29" s="57"/>
      <c r="I29" s="57"/>
      <c r="J29" s="57"/>
      <c r="K29" s="57"/>
      <c r="L29" s="57"/>
      <c r="M29" s="57"/>
      <c r="N29" s="57"/>
      <c r="O29" s="57"/>
      <c r="P29" s="16"/>
    </row>
    <row r="30" spans="2:16" x14ac:dyDescent="0.25">
      <c r="B30" s="16"/>
      <c r="C30" s="17"/>
      <c r="D30" s="16"/>
      <c r="E30" s="16"/>
      <c r="F30" s="16"/>
      <c r="G30" s="16"/>
      <c r="H30" s="16"/>
      <c r="I30" s="16"/>
      <c r="J30" s="16"/>
      <c r="K30" s="16"/>
      <c r="L30" s="16"/>
      <c r="M30" s="16"/>
      <c r="N30" s="16"/>
      <c r="O30" s="16"/>
      <c r="P30" s="16"/>
    </row>
    <row r="31" spans="2:16" x14ac:dyDescent="0.25">
      <c r="B31" s="16"/>
      <c r="C31" s="17"/>
      <c r="D31" s="16"/>
      <c r="E31" s="33">
        <v>0</v>
      </c>
      <c r="F31" s="16"/>
      <c r="G31" s="16"/>
      <c r="H31" s="16"/>
      <c r="I31" s="16"/>
      <c r="J31" s="16"/>
      <c r="K31" s="16"/>
      <c r="L31" s="16"/>
      <c r="M31" s="16"/>
      <c r="N31" s="32"/>
      <c r="O31" s="32" t="s">
        <v>11</v>
      </c>
      <c r="P31" s="16"/>
    </row>
    <row r="32" spans="2:16" ht="18" x14ac:dyDescent="0.25">
      <c r="B32" s="16"/>
      <c r="C32" s="19" t="s">
        <v>14</v>
      </c>
      <c r="D32" s="16"/>
      <c r="E32" s="2" t="s">
        <v>53</v>
      </c>
      <c r="F32" s="2" t="s">
        <v>53</v>
      </c>
      <c r="G32" s="2" t="s">
        <v>53</v>
      </c>
      <c r="H32" s="2" t="s">
        <v>53</v>
      </c>
      <c r="I32" s="2" t="s">
        <v>53</v>
      </c>
      <c r="J32" s="2" t="s">
        <v>53</v>
      </c>
      <c r="K32" s="2" t="s">
        <v>53</v>
      </c>
      <c r="L32" s="2" t="s">
        <v>53</v>
      </c>
      <c r="M32" s="2" t="s">
        <v>53</v>
      </c>
      <c r="N32" s="2"/>
      <c r="O32" s="2"/>
      <c r="P32" s="16"/>
    </row>
    <row r="33" spans="2:16" x14ac:dyDescent="0.25">
      <c r="B33" s="16"/>
      <c r="C33" s="17"/>
      <c r="D33" s="16"/>
      <c r="E33" s="16"/>
      <c r="F33" s="16"/>
      <c r="G33" s="16"/>
      <c r="H33" s="16"/>
      <c r="I33" s="16"/>
      <c r="J33" s="16"/>
      <c r="K33" s="16"/>
      <c r="L33" s="16"/>
      <c r="M33" s="16"/>
      <c r="N33" s="16"/>
      <c r="O33" s="16"/>
      <c r="P33" s="16"/>
    </row>
    <row r="34" spans="2:16" ht="180" customHeight="1" x14ac:dyDescent="0.25">
      <c r="B34" s="16"/>
      <c r="C34" s="18" t="s">
        <v>12</v>
      </c>
      <c r="D34" s="16"/>
      <c r="E34" s="56" t="s">
        <v>57</v>
      </c>
      <c r="F34" s="57"/>
      <c r="G34" s="57"/>
      <c r="H34" s="57"/>
      <c r="I34" s="57"/>
      <c r="J34" s="57"/>
      <c r="K34" s="57"/>
      <c r="L34" s="57"/>
      <c r="M34" s="57"/>
      <c r="N34" s="57"/>
      <c r="O34" s="57"/>
      <c r="P34" s="16"/>
    </row>
    <row r="35" spans="2:16" x14ac:dyDescent="0.25">
      <c r="B35" s="16"/>
      <c r="C35" s="17"/>
      <c r="D35" s="16"/>
      <c r="E35" s="16"/>
      <c r="F35" s="16"/>
      <c r="G35" s="16"/>
      <c r="H35" s="16"/>
      <c r="I35" s="16"/>
      <c r="J35" s="16"/>
      <c r="K35" s="16"/>
      <c r="L35" s="16"/>
      <c r="M35" s="16"/>
      <c r="N35" s="16"/>
      <c r="O35" s="16"/>
      <c r="P35" s="16"/>
    </row>
    <row r="36" spans="2:16" x14ac:dyDescent="0.25">
      <c r="B36" s="16"/>
      <c r="C36" s="17"/>
      <c r="D36" s="16"/>
      <c r="E36" s="33">
        <v>0</v>
      </c>
      <c r="F36" s="16"/>
      <c r="G36" s="16"/>
      <c r="H36" s="16"/>
      <c r="I36" s="16"/>
      <c r="J36" s="16"/>
      <c r="K36" s="16"/>
      <c r="L36" s="16"/>
      <c r="M36" s="16"/>
      <c r="N36" s="32"/>
      <c r="O36" s="32" t="s">
        <v>11</v>
      </c>
      <c r="P36" s="16"/>
    </row>
    <row r="37" spans="2:16" ht="18" x14ac:dyDescent="0.25">
      <c r="B37" s="16"/>
      <c r="C37" s="19" t="s">
        <v>15</v>
      </c>
      <c r="D37" s="16"/>
      <c r="E37" s="2" t="s">
        <v>53</v>
      </c>
      <c r="F37" s="2" t="s">
        <v>53</v>
      </c>
      <c r="G37" s="2" t="s">
        <v>53</v>
      </c>
      <c r="H37" s="2" t="s">
        <v>53</v>
      </c>
      <c r="I37" s="2" t="s">
        <v>53</v>
      </c>
      <c r="J37" s="2" t="s">
        <v>53</v>
      </c>
      <c r="K37" s="2" t="s">
        <v>53</v>
      </c>
      <c r="L37" s="2" t="s">
        <v>53</v>
      </c>
      <c r="M37" s="2" t="s">
        <v>53</v>
      </c>
      <c r="N37" s="2"/>
      <c r="O37" s="2"/>
      <c r="P37" s="16"/>
    </row>
    <row r="38" spans="2:16" x14ac:dyDescent="0.25">
      <c r="B38" s="16"/>
      <c r="C38" s="17"/>
      <c r="D38" s="16"/>
      <c r="E38" s="16"/>
      <c r="F38" s="16"/>
      <c r="G38" s="16"/>
      <c r="H38" s="16"/>
      <c r="I38" s="16"/>
      <c r="J38" s="16"/>
      <c r="K38" s="16"/>
      <c r="L38" s="16"/>
      <c r="M38" s="16"/>
      <c r="N38" s="16"/>
      <c r="O38" s="16"/>
      <c r="P38" s="16"/>
    </row>
    <row r="39" spans="2:16" ht="180" customHeight="1" x14ac:dyDescent="0.25">
      <c r="B39" s="16"/>
      <c r="C39" s="18" t="s">
        <v>12</v>
      </c>
      <c r="D39" s="16"/>
      <c r="E39" s="56" t="s">
        <v>58</v>
      </c>
      <c r="F39" s="57"/>
      <c r="G39" s="57"/>
      <c r="H39" s="57"/>
      <c r="I39" s="57"/>
      <c r="J39" s="57"/>
      <c r="K39" s="57"/>
      <c r="L39" s="57"/>
      <c r="M39" s="57"/>
      <c r="N39" s="57"/>
      <c r="O39" s="57"/>
      <c r="P39" s="16"/>
    </row>
    <row r="40" spans="2:16" x14ac:dyDescent="0.25">
      <c r="B40" s="16"/>
      <c r="C40" s="17"/>
      <c r="D40" s="16"/>
      <c r="E40" s="16"/>
      <c r="F40" s="16"/>
      <c r="G40" s="16"/>
      <c r="H40" s="16"/>
      <c r="I40" s="16"/>
      <c r="J40" s="16"/>
      <c r="K40" s="16"/>
      <c r="L40" s="16"/>
      <c r="M40" s="16"/>
      <c r="N40" s="16"/>
      <c r="O40" s="16"/>
      <c r="P40" s="16"/>
    </row>
    <row r="41" spans="2:16" x14ac:dyDescent="0.25">
      <c r="B41" s="16"/>
      <c r="C41" s="17"/>
      <c r="D41" s="16"/>
      <c r="E41" s="16"/>
      <c r="F41" s="16"/>
      <c r="G41" s="16"/>
      <c r="H41" s="16"/>
      <c r="I41" s="16"/>
      <c r="J41" s="16"/>
      <c r="K41" s="16"/>
      <c r="L41" s="16"/>
      <c r="M41" s="16"/>
      <c r="N41" s="16"/>
      <c r="O41" s="16"/>
      <c r="P41" s="16"/>
    </row>
    <row r="42" spans="2:16" ht="18.75" x14ac:dyDescent="0.3">
      <c r="B42" s="16"/>
      <c r="C42" s="27" t="s">
        <v>28</v>
      </c>
      <c r="D42" s="28"/>
      <c r="E42" s="29"/>
      <c r="F42" s="29"/>
      <c r="G42" s="29"/>
      <c r="H42" s="29"/>
      <c r="I42" s="29"/>
      <c r="J42" s="29"/>
      <c r="K42" s="29"/>
      <c r="L42" s="29"/>
      <c r="M42" s="29"/>
      <c r="N42" s="29"/>
      <c r="O42" s="29"/>
      <c r="P42" s="16"/>
    </row>
    <row r="43" spans="2:16" ht="56.1" customHeight="1" thickBot="1" x14ac:dyDescent="0.3">
      <c r="B43" s="16"/>
      <c r="C43" s="55" t="s">
        <v>27</v>
      </c>
      <c r="D43" s="55"/>
      <c r="E43" s="55"/>
      <c r="F43" s="55"/>
      <c r="G43" s="55"/>
      <c r="H43" s="55"/>
      <c r="I43" s="55"/>
      <c r="J43" s="55"/>
      <c r="K43" s="55"/>
      <c r="L43" s="55"/>
      <c r="M43" s="55"/>
      <c r="N43" s="55"/>
      <c r="O43" s="55"/>
      <c r="P43" s="16"/>
    </row>
    <row r="44" spans="2:16" ht="16.5" thickTop="1" x14ac:dyDescent="0.25">
      <c r="B44" s="16"/>
      <c r="C44" s="38" t="s">
        <v>26</v>
      </c>
      <c r="D44" s="16"/>
      <c r="E44" s="30">
        <v>0</v>
      </c>
      <c r="F44" s="30">
        <v>1</v>
      </c>
      <c r="G44" s="31">
        <v>2</v>
      </c>
      <c r="H44" s="31">
        <v>3</v>
      </c>
      <c r="I44" s="31">
        <v>4</v>
      </c>
      <c r="J44" s="31">
        <v>5</v>
      </c>
      <c r="K44" s="31">
        <v>6</v>
      </c>
      <c r="L44" s="31">
        <v>7</v>
      </c>
      <c r="M44" s="31">
        <v>8</v>
      </c>
      <c r="N44" s="31">
        <v>9</v>
      </c>
      <c r="O44" s="31">
        <v>10</v>
      </c>
      <c r="P44" s="16"/>
    </row>
    <row r="45" spans="2:16" ht="30.75" thickBot="1" x14ac:dyDescent="0.3">
      <c r="B45" s="16"/>
      <c r="C45" s="26" t="s">
        <v>22</v>
      </c>
      <c r="D45" s="36"/>
      <c r="E45" s="5"/>
      <c r="F45" s="5"/>
      <c r="G45" s="5"/>
      <c r="H45" s="5"/>
      <c r="I45" s="5"/>
      <c r="J45" s="5"/>
      <c r="K45" s="5"/>
      <c r="L45" s="5"/>
      <c r="M45" s="5"/>
      <c r="N45" s="5" t="s">
        <v>53</v>
      </c>
      <c r="O45" s="5"/>
      <c r="P45" s="16"/>
    </row>
    <row r="46" spans="2:16" ht="45.75" thickBot="1" x14ac:dyDescent="0.3">
      <c r="B46" s="16"/>
      <c r="C46" s="26" t="s">
        <v>23</v>
      </c>
      <c r="D46" s="36"/>
      <c r="E46" s="5"/>
      <c r="F46" s="5"/>
      <c r="G46" s="5"/>
      <c r="H46" s="5"/>
      <c r="I46" s="5"/>
      <c r="J46" s="5"/>
      <c r="K46" s="5"/>
      <c r="L46" s="5"/>
      <c r="M46" s="5" t="s">
        <v>53</v>
      </c>
      <c r="N46" s="5"/>
      <c r="O46" s="5"/>
      <c r="P46" s="16"/>
    </row>
    <row r="47" spans="2:16" ht="30.75" thickBot="1" x14ac:dyDescent="0.3">
      <c r="B47" s="16"/>
      <c r="C47" s="26" t="s">
        <v>24</v>
      </c>
      <c r="D47" s="36"/>
      <c r="E47" s="5"/>
      <c r="F47" s="5"/>
      <c r="G47" s="5"/>
      <c r="H47" s="5"/>
      <c r="I47" s="5"/>
      <c r="J47" s="5"/>
      <c r="K47" s="5"/>
      <c r="L47" s="5"/>
      <c r="M47" s="5"/>
      <c r="N47" s="5" t="s">
        <v>53</v>
      </c>
      <c r="O47" s="5"/>
      <c r="P47" s="16"/>
    </row>
    <row r="48" spans="2:16" ht="60.75" thickBot="1" x14ac:dyDescent="0.3">
      <c r="B48" s="16"/>
      <c r="C48" s="26" t="s">
        <v>25</v>
      </c>
      <c r="D48" s="36"/>
      <c r="E48" s="5" t="s">
        <v>53</v>
      </c>
      <c r="F48" s="5"/>
      <c r="G48" s="5"/>
      <c r="H48" s="5"/>
      <c r="I48" s="5"/>
      <c r="J48" s="5"/>
      <c r="K48" s="5"/>
      <c r="L48" s="5"/>
      <c r="M48" s="5"/>
      <c r="N48" s="5"/>
      <c r="O48" s="5"/>
      <c r="P48" s="16"/>
    </row>
    <row r="49" spans="2:16" ht="15.75" x14ac:dyDescent="0.25">
      <c r="B49" s="16"/>
      <c r="C49" s="34"/>
      <c r="D49" s="35"/>
      <c r="E49" s="16"/>
      <c r="F49" s="16"/>
      <c r="G49" s="16"/>
      <c r="H49" s="16"/>
      <c r="I49" s="16"/>
      <c r="J49" s="16"/>
      <c r="K49" s="16"/>
      <c r="L49" s="16"/>
      <c r="M49" s="16"/>
      <c r="N49" s="16"/>
      <c r="O49" s="16"/>
      <c r="P49" s="16"/>
    </row>
    <row r="50" spans="2:16" x14ac:dyDescent="0.25">
      <c r="B50" s="16"/>
      <c r="C50" s="37" t="s">
        <v>10</v>
      </c>
      <c r="D50" s="16"/>
      <c r="E50" s="5" t="str">
        <f>IF(E22="","",E22)</f>
        <v>x</v>
      </c>
      <c r="F50" s="5" t="str">
        <f t="shared" ref="F50:O50" si="0">IF(F22="","",F22)</f>
        <v>x</v>
      </c>
      <c r="G50" s="5" t="str">
        <f t="shared" si="0"/>
        <v>x</v>
      </c>
      <c r="H50" s="5" t="str">
        <f t="shared" si="0"/>
        <v>x</v>
      </c>
      <c r="I50" s="5" t="str">
        <f t="shared" si="0"/>
        <v>x</v>
      </c>
      <c r="J50" s="5" t="str">
        <f t="shared" si="0"/>
        <v>x</v>
      </c>
      <c r="K50" s="5" t="str">
        <f t="shared" si="0"/>
        <v>x</v>
      </c>
      <c r="L50" s="5" t="str">
        <f t="shared" si="0"/>
        <v>x</v>
      </c>
      <c r="M50" s="5" t="str">
        <f t="shared" si="0"/>
        <v>x</v>
      </c>
      <c r="N50" s="5" t="str">
        <f t="shared" si="0"/>
        <v/>
      </c>
      <c r="O50" s="5" t="str">
        <f t="shared" si="0"/>
        <v/>
      </c>
      <c r="P50" s="16"/>
    </row>
    <row r="51" spans="2:16" x14ac:dyDescent="0.25">
      <c r="B51" s="16"/>
      <c r="C51" s="37" t="s">
        <v>13</v>
      </c>
      <c r="D51" s="16"/>
      <c r="E51" s="5" t="str">
        <f>IF(E27="","",E27)</f>
        <v>x</v>
      </c>
      <c r="F51" s="5" t="str">
        <f t="shared" ref="F51:O51" si="1">IF(F27="","",F27)</f>
        <v>x</v>
      </c>
      <c r="G51" s="5" t="str">
        <f t="shared" si="1"/>
        <v>x</v>
      </c>
      <c r="H51" s="5" t="str">
        <f t="shared" si="1"/>
        <v>x</v>
      </c>
      <c r="I51" s="5" t="str">
        <f t="shared" si="1"/>
        <v>x</v>
      </c>
      <c r="J51" s="5" t="str">
        <f t="shared" si="1"/>
        <v>x</v>
      </c>
      <c r="K51" s="5" t="str">
        <f t="shared" si="1"/>
        <v>x</v>
      </c>
      <c r="L51" s="5" t="str">
        <f t="shared" si="1"/>
        <v>x</v>
      </c>
      <c r="M51" s="5" t="str">
        <f t="shared" si="1"/>
        <v>x</v>
      </c>
      <c r="N51" s="5" t="str">
        <f t="shared" si="1"/>
        <v>x</v>
      </c>
      <c r="O51" s="5" t="str">
        <f t="shared" si="1"/>
        <v/>
      </c>
      <c r="P51" s="16"/>
    </row>
    <row r="52" spans="2:16" x14ac:dyDescent="0.25">
      <c r="B52" s="16"/>
      <c r="C52" s="37" t="s">
        <v>14</v>
      </c>
      <c r="D52" s="16"/>
      <c r="E52" s="5" t="str">
        <f>IF(E32="","",E32)</f>
        <v>x</v>
      </c>
      <c r="F52" s="5" t="str">
        <f t="shared" ref="F52:O52" si="2">IF(F32="","",F32)</f>
        <v>x</v>
      </c>
      <c r="G52" s="5" t="str">
        <f t="shared" si="2"/>
        <v>x</v>
      </c>
      <c r="H52" s="5" t="str">
        <f t="shared" si="2"/>
        <v>x</v>
      </c>
      <c r="I52" s="5" t="str">
        <f t="shared" si="2"/>
        <v>x</v>
      </c>
      <c r="J52" s="5" t="str">
        <f t="shared" si="2"/>
        <v>x</v>
      </c>
      <c r="K52" s="5" t="str">
        <f t="shared" si="2"/>
        <v>x</v>
      </c>
      <c r="L52" s="5" t="str">
        <f t="shared" si="2"/>
        <v>x</v>
      </c>
      <c r="M52" s="5" t="str">
        <f t="shared" si="2"/>
        <v>x</v>
      </c>
      <c r="N52" s="5" t="str">
        <f t="shared" si="2"/>
        <v/>
      </c>
      <c r="O52" s="5" t="str">
        <f t="shared" si="2"/>
        <v/>
      </c>
      <c r="P52" s="16"/>
    </row>
    <row r="53" spans="2:16" x14ac:dyDescent="0.25">
      <c r="B53" s="16"/>
      <c r="C53" s="37" t="s">
        <v>15</v>
      </c>
      <c r="D53" s="16"/>
      <c r="E53" s="5" t="str">
        <f>IF(E37="","",E37)</f>
        <v>x</v>
      </c>
      <c r="F53" s="5" t="str">
        <f t="shared" ref="F53:O53" si="3">IF(F37="","",F37)</f>
        <v>x</v>
      </c>
      <c r="G53" s="5" t="str">
        <f t="shared" si="3"/>
        <v>x</v>
      </c>
      <c r="H53" s="5" t="str">
        <f t="shared" si="3"/>
        <v>x</v>
      </c>
      <c r="I53" s="5" t="str">
        <f t="shared" si="3"/>
        <v>x</v>
      </c>
      <c r="J53" s="5" t="str">
        <f t="shared" si="3"/>
        <v>x</v>
      </c>
      <c r="K53" s="5" t="str">
        <f t="shared" si="3"/>
        <v>x</v>
      </c>
      <c r="L53" s="5" t="str">
        <f t="shared" si="3"/>
        <v>x</v>
      </c>
      <c r="M53" s="5" t="str">
        <f t="shared" si="3"/>
        <v>x</v>
      </c>
      <c r="N53" s="5" t="str">
        <f t="shared" si="3"/>
        <v/>
      </c>
      <c r="O53" s="5" t="str">
        <f t="shared" si="3"/>
        <v/>
      </c>
      <c r="P53" s="16"/>
    </row>
    <row r="54" spans="2:16" x14ac:dyDescent="0.25">
      <c r="B54" s="16"/>
      <c r="C54" s="17"/>
      <c r="D54" s="16"/>
      <c r="E54" s="16"/>
      <c r="F54" s="16"/>
      <c r="G54" s="16"/>
      <c r="H54" s="16"/>
      <c r="I54" s="16"/>
      <c r="J54" s="16"/>
      <c r="K54" s="16"/>
      <c r="L54" s="16"/>
      <c r="M54" s="16"/>
      <c r="N54" s="16"/>
      <c r="O54" s="16"/>
      <c r="P54" s="16"/>
    </row>
    <row r="55" spans="2:16" x14ac:dyDescent="0.25">
      <c r="B55" s="16"/>
      <c r="C55" s="17"/>
      <c r="D55" s="16"/>
      <c r="E55" s="16"/>
      <c r="F55" s="16"/>
      <c r="G55" s="16"/>
      <c r="H55" s="16"/>
      <c r="I55" s="16"/>
      <c r="J55" s="16"/>
      <c r="K55" s="16"/>
      <c r="L55" s="16"/>
      <c r="M55" s="16"/>
      <c r="N55" s="16"/>
      <c r="O55" s="16"/>
      <c r="P55" s="16"/>
    </row>
  </sheetData>
  <mergeCells count="8">
    <mergeCell ref="B2:P2"/>
    <mergeCell ref="C43:O43"/>
    <mergeCell ref="E24:O24"/>
    <mergeCell ref="E29:O29"/>
    <mergeCell ref="E34:O34"/>
    <mergeCell ref="E39:O39"/>
    <mergeCell ref="E5:N17"/>
    <mergeCell ref="E19:N19"/>
  </mergeCells>
  <conditionalFormatting sqref="E45:O48">
    <cfRule type="containsText" dxfId="1" priority="1" operator="containsText" text="x">
      <formula>NOT(ISERROR(SEARCH("x",E45)))</formula>
    </cfRule>
  </conditionalFormatting>
  <conditionalFormatting sqref="E50:O53">
    <cfRule type="containsText" dxfId="0" priority="2" operator="containsText" text="X">
      <formula>NOT(ISERROR(SEARCH("X",E50)))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E88CE-8FFE-4FAE-A1A1-6FA423FE5797}">
  <dimension ref="A1:E10"/>
  <sheetViews>
    <sheetView workbookViewId="0">
      <selection activeCell="H9" sqref="H9"/>
    </sheetView>
  </sheetViews>
  <sheetFormatPr defaultRowHeight="15" x14ac:dyDescent="0.25"/>
  <cols>
    <col min="1" max="1" width="2.5703125" customWidth="1"/>
    <col min="2" max="2" width="100.5703125" customWidth="1"/>
    <col min="4" max="4" width="100.5703125" customWidth="1"/>
  </cols>
  <sheetData>
    <row r="1" spans="1:5" x14ac:dyDescent="0.25">
      <c r="A1" s="20"/>
      <c r="B1" s="20"/>
      <c r="C1" s="20"/>
      <c r="D1" s="20"/>
      <c r="E1" s="20"/>
    </row>
    <row r="2" spans="1:5" ht="18" x14ac:dyDescent="0.25">
      <c r="A2" s="20"/>
      <c r="B2" s="64" t="s">
        <v>38</v>
      </c>
      <c r="C2" s="64"/>
      <c r="D2" s="64"/>
      <c r="E2" s="20"/>
    </row>
    <row r="3" spans="1:5" x14ac:dyDescent="0.25">
      <c r="A3" s="20"/>
      <c r="B3" s="20"/>
      <c r="C3" s="20"/>
      <c r="D3" s="20"/>
      <c r="E3" s="20"/>
    </row>
    <row r="4" spans="1:5" ht="23.25" x14ac:dyDescent="0.35">
      <c r="A4" s="16"/>
      <c r="B4" s="22" t="s">
        <v>17</v>
      </c>
      <c r="C4" s="16"/>
      <c r="D4" s="22" t="s">
        <v>18</v>
      </c>
      <c r="E4" s="16"/>
    </row>
    <row r="5" spans="1:5" ht="147" customHeight="1" x14ac:dyDescent="0.25">
      <c r="A5" s="16"/>
      <c r="B5" s="23" t="s">
        <v>19</v>
      </c>
      <c r="C5" s="21"/>
      <c r="D5" s="23" t="s">
        <v>20</v>
      </c>
      <c r="E5" s="16"/>
    </row>
    <row r="6" spans="1:5" ht="350.1" customHeight="1" x14ac:dyDescent="0.25">
      <c r="A6" s="16"/>
      <c r="B6" s="52" t="s">
        <v>59</v>
      </c>
      <c r="C6" s="16"/>
      <c r="D6" s="51" t="s">
        <v>60</v>
      </c>
      <c r="E6" s="16"/>
    </row>
    <row r="7" spans="1:5" ht="15" customHeight="1" x14ac:dyDescent="0.25">
      <c r="A7" s="16"/>
      <c r="B7" s="16"/>
      <c r="C7" s="16"/>
      <c r="D7" s="24"/>
      <c r="E7" s="16"/>
    </row>
    <row r="8" spans="1:5" ht="15" customHeight="1" x14ac:dyDescent="0.25">
      <c r="A8" s="16"/>
      <c r="B8" s="25" t="s">
        <v>21</v>
      </c>
      <c r="C8" s="16"/>
      <c r="D8" s="16"/>
      <c r="E8" s="16"/>
    </row>
    <row r="9" spans="1:5" ht="150" customHeight="1" x14ac:dyDescent="0.25">
      <c r="A9" s="16"/>
      <c r="B9" s="61" t="s">
        <v>61</v>
      </c>
      <c r="C9" s="62"/>
      <c r="D9" s="63"/>
      <c r="E9" s="16"/>
    </row>
    <row r="10" spans="1:5" x14ac:dyDescent="0.25">
      <c r="A10" s="16"/>
      <c r="B10" s="16"/>
      <c r="C10" s="16"/>
      <c r="D10" s="16"/>
      <c r="E10" s="16"/>
    </row>
  </sheetData>
  <mergeCells count="2">
    <mergeCell ref="B9:D9"/>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954B9-966C-4E44-B421-CF7AEDBF03BB}">
  <dimension ref="B1:AQ50"/>
  <sheetViews>
    <sheetView tabSelected="1" workbookViewId="0">
      <selection activeCell="AJ8" sqref="AJ8"/>
    </sheetView>
  </sheetViews>
  <sheetFormatPr defaultRowHeight="15" x14ac:dyDescent="0.25"/>
  <cols>
    <col min="2" max="2" width="4.5703125" style="3" customWidth="1"/>
    <col min="3" max="3" width="85.5703125" customWidth="1"/>
    <col min="4" max="17" width="2.5703125" customWidth="1"/>
    <col min="18" max="18" width="50.5703125" customWidth="1"/>
    <col min="19" max="20" width="20.28515625" hidden="1" customWidth="1"/>
    <col min="21" max="21" width="14.85546875" hidden="1" customWidth="1"/>
    <col min="22" max="22" width="17.5703125" hidden="1" customWidth="1"/>
    <col min="23" max="23" width="12" hidden="1" customWidth="1"/>
    <col min="24" max="24" width="16" hidden="1" customWidth="1"/>
    <col min="25" max="25" width="6.7109375" hidden="1" customWidth="1"/>
    <col min="26" max="26" width="13.85546875" hidden="1" customWidth="1"/>
    <col min="27" max="27" width="14.5703125" hidden="1" customWidth="1"/>
    <col min="28" max="28" width="14.7109375" hidden="1" customWidth="1"/>
    <col min="29" max="29" width="11" hidden="1" customWidth="1"/>
    <col min="30" max="30" width="0.85546875" hidden="1" customWidth="1"/>
    <col min="31" max="31" width="40.140625" hidden="1" customWidth="1"/>
    <col min="32" max="32" width="8.7109375" style="8"/>
    <col min="34" max="34" width="8.7109375" customWidth="1"/>
    <col min="37" max="37" width="26.140625" customWidth="1"/>
  </cols>
  <sheetData>
    <row r="1" spans="2:43" ht="45" x14ac:dyDescent="0.25">
      <c r="AI1" s="1" t="s">
        <v>3</v>
      </c>
      <c r="AJ1" s="1" t="s">
        <v>4</v>
      </c>
      <c r="AK1" s="1" t="s">
        <v>8</v>
      </c>
      <c r="AL1" s="1" t="s">
        <v>5</v>
      </c>
      <c r="AM1" s="1" t="s">
        <v>6</v>
      </c>
      <c r="AN1" s="1" t="s">
        <v>7</v>
      </c>
    </row>
    <row r="2" spans="2:43" ht="18" x14ac:dyDescent="0.25">
      <c r="B2" s="65" t="s">
        <v>37</v>
      </c>
      <c r="C2" s="65"/>
      <c r="D2" s="65"/>
      <c r="E2" s="65"/>
      <c r="F2" s="65"/>
      <c r="G2" s="65"/>
      <c r="H2" s="65"/>
      <c r="I2" s="65"/>
      <c r="J2" s="65"/>
      <c r="K2" s="65"/>
      <c r="L2" s="65"/>
      <c r="M2" s="65"/>
      <c r="N2" s="65"/>
      <c r="O2" s="65"/>
      <c r="P2" s="65"/>
      <c r="Q2" s="65"/>
      <c r="R2" s="65"/>
      <c r="AI2" s="1"/>
      <c r="AJ2" s="1"/>
      <c r="AK2" s="1"/>
      <c r="AL2" s="1"/>
      <c r="AM2" s="1"/>
      <c r="AN2" s="1"/>
    </row>
    <row r="3" spans="2:43" ht="15.75" thickBot="1" x14ac:dyDescent="0.3">
      <c r="AI3" s="1"/>
      <c r="AJ3" s="1"/>
      <c r="AK3" s="1"/>
      <c r="AL3" s="1"/>
      <c r="AM3" s="1"/>
      <c r="AN3" s="1"/>
    </row>
    <row r="4" spans="2:43" ht="18.75" x14ac:dyDescent="0.3">
      <c r="B4" s="48">
        <v>1</v>
      </c>
      <c r="C4" s="49" t="s">
        <v>62</v>
      </c>
      <c r="D4" s="6"/>
      <c r="E4" s="73" t="s">
        <v>9</v>
      </c>
      <c r="F4" s="73"/>
      <c r="G4" s="73"/>
      <c r="H4" s="73"/>
      <c r="I4" s="73"/>
      <c r="J4" s="73"/>
      <c r="K4" s="73"/>
      <c r="L4" s="73"/>
      <c r="M4" s="73"/>
      <c r="N4" s="73"/>
      <c r="O4" s="73"/>
      <c r="P4" s="6"/>
      <c r="Q4" s="6"/>
      <c r="R4" s="10"/>
      <c r="AH4">
        <f>IF(C9="",0,1)</f>
        <v>1</v>
      </c>
      <c r="AI4" s="2">
        <f>B4</f>
        <v>1</v>
      </c>
      <c r="AJ4" s="2">
        <f>B5</f>
        <v>0</v>
      </c>
      <c r="AK4" s="7">
        <f>IF(AH4=1,C9,"")</f>
        <v>45817</v>
      </c>
      <c r="AL4" s="2">
        <f>AF8</f>
        <v>3</v>
      </c>
      <c r="AM4" s="2">
        <f>AF9</f>
        <v>4</v>
      </c>
      <c r="AN4" s="2" t="str">
        <f>P13</f>
        <v>YES</v>
      </c>
      <c r="AQ4" t="s">
        <v>41</v>
      </c>
    </row>
    <row r="5" spans="2:43" x14ac:dyDescent="0.25">
      <c r="B5" s="67"/>
      <c r="C5" s="68"/>
      <c r="D5" s="45"/>
      <c r="E5" s="74" t="s">
        <v>1</v>
      </c>
      <c r="F5" s="74"/>
      <c r="G5" s="74"/>
      <c r="H5" s="74"/>
      <c r="I5" s="74"/>
      <c r="J5" s="74"/>
      <c r="K5" s="74"/>
      <c r="L5" s="74"/>
      <c r="M5" s="74"/>
      <c r="N5" s="74"/>
      <c r="O5" s="74"/>
      <c r="P5" s="46"/>
      <c r="Q5" s="46"/>
      <c r="R5" s="11"/>
      <c r="AQ5" s="41"/>
    </row>
    <row r="6" spans="2:43" ht="18.75" x14ac:dyDescent="0.3">
      <c r="B6" s="69" t="s">
        <v>46</v>
      </c>
      <c r="C6" s="70"/>
      <c r="D6" s="45"/>
      <c r="E6" s="2">
        <f t="shared" ref="E6:G6" si="0">F6-1</f>
        <v>-5</v>
      </c>
      <c r="F6" s="2">
        <f t="shared" si="0"/>
        <v>-4</v>
      </c>
      <c r="G6" s="2">
        <f t="shared" si="0"/>
        <v>-3</v>
      </c>
      <c r="H6" s="2">
        <f>I6-1</f>
        <v>-2</v>
      </c>
      <c r="I6" s="2">
        <v>-1</v>
      </c>
      <c r="J6" s="2">
        <v>0</v>
      </c>
      <c r="K6" s="2">
        <f>J6+1</f>
        <v>1</v>
      </c>
      <c r="L6" s="2">
        <f t="shared" ref="L6:O6" si="1">K6+1</f>
        <v>2</v>
      </c>
      <c r="M6" s="2">
        <f t="shared" si="1"/>
        <v>3</v>
      </c>
      <c r="N6" s="2">
        <f t="shared" si="1"/>
        <v>4</v>
      </c>
      <c r="O6" s="2">
        <f t="shared" si="1"/>
        <v>5</v>
      </c>
      <c r="P6" s="45"/>
      <c r="Q6" s="45"/>
      <c r="R6" s="11"/>
      <c r="U6" s="2">
        <f t="shared" ref="U6:W6" si="2">V6-1</f>
        <v>-5</v>
      </c>
      <c r="V6" s="2">
        <f t="shared" si="2"/>
        <v>-4</v>
      </c>
      <c r="W6" s="2">
        <f t="shared" si="2"/>
        <v>-3</v>
      </c>
      <c r="X6" s="2">
        <f>Y6-1</f>
        <v>-2</v>
      </c>
      <c r="Y6" s="2">
        <v>-1</v>
      </c>
      <c r="Z6" s="2">
        <v>0</v>
      </c>
      <c r="AA6" s="2">
        <f>Z6+1</f>
        <v>1</v>
      </c>
      <c r="AB6" s="2">
        <f t="shared" ref="AB6:AE6" si="3">AA6+1</f>
        <v>2</v>
      </c>
      <c r="AC6" s="2">
        <f t="shared" si="3"/>
        <v>3</v>
      </c>
      <c r="AD6" s="2">
        <f t="shared" si="3"/>
        <v>4</v>
      </c>
      <c r="AE6" s="2">
        <f t="shared" si="3"/>
        <v>5</v>
      </c>
      <c r="AQ6" s="42" t="s">
        <v>42</v>
      </c>
    </row>
    <row r="7" spans="2:43" x14ac:dyDescent="0.25">
      <c r="B7" s="12"/>
      <c r="C7" s="13"/>
      <c r="D7" s="45"/>
      <c r="E7" s="2"/>
      <c r="F7" s="2"/>
      <c r="G7" s="2"/>
      <c r="H7" s="2"/>
      <c r="I7" s="2"/>
      <c r="J7" s="2"/>
      <c r="K7" s="2"/>
      <c r="L7" s="2"/>
      <c r="M7" s="2" t="s">
        <v>53</v>
      </c>
      <c r="N7" s="2"/>
      <c r="O7" s="2"/>
      <c r="P7" s="45"/>
      <c r="Q7" s="45"/>
      <c r="R7" s="11"/>
      <c r="U7" s="2" t="str">
        <f t="shared" ref="U7:AE7" si="4">IF(E7="x",E$6," ")</f>
        <v xml:space="preserve"> </v>
      </c>
      <c r="V7" s="2" t="str">
        <f t="shared" si="4"/>
        <v xml:space="preserve"> </v>
      </c>
      <c r="W7" s="2" t="str">
        <f t="shared" si="4"/>
        <v xml:space="preserve"> </v>
      </c>
      <c r="X7" s="2" t="str">
        <f t="shared" si="4"/>
        <v xml:space="preserve"> </v>
      </c>
      <c r="Y7" s="2" t="str">
        <f t="shared" si="4"/>
        <v xml:space="preserve"> </v>
      </c>
      <c r="Z7" s="2" t="str">
        <f t="shared" si="4"/>
        <v xml:space="preserve"> </v>
      </c>
      <c r="AA7" s="2" t="str">
        <f t="shared" si="4"/>
        <v xml:space="preserve"> </v>
      </c>
      <c r="AB7" s="2" t="str">
        <f t="shared" si="4"/>
        <v xml:space="preserve"> </v>
      </c>
      <c r="AC7" s="2">
        <f t="shared" si="4"/>
        <v>3</v>
      </c>
      <c r="AD7" s="2" t="str">
        <f t="shared" si="4"/>
        <v xml:space="preserve"> </v>
      </c>
      <c r="AE7" s="2" t="str">
        <f t="shared" si="4"/>
        <v xml:space="preserve"> </v>
      </c>
      <c r="AQ7" s="41"/>
    </row>
    <row r="8" spans="2:43" x14ac:dyDescent="0.25">
      <c r="B8" s="12"/>
      <c r="C8" s="14" t="s">
        <v>72</v>
      </c>
      <c r="D8" s="45"/>
      <c r="E8" s="45"/>
      <c r="F8" s="45"/>
      <c r="G8" s="45"/>
      <c r="H8" s="45"/>
      <c r="I8" s="45"/>
      <c r="J8" s="45"/>
      <c r="K8" s="45"/>
      <c r="L8" s="45"/>
      <c r="M8" s="45"/>
      <c r="N8" s="45"/>
      <c r="O8" s="45"/>
      <c r="P8" s="45"/>
      <c r="Q8" s="45"/>
      <c r="R8" s="11"/>
      <c r="AF8" s="9">
        <f>SUM(U7:AE7)</f>
        <v>3</v>
      </c>
      <c r="AQ8" s="42" t="s">
        <v>43</v>
      </c>
    </row>
    <row r="9" spans="2:43" x14ac:dyDescent="0.25">
      <c r="B9" s="12"/>
      <c r="C9" s="47">
        <v>45817</v>
      </c>
      <c r="D9" s="45"/>
      <c r="E9" s="74" t="s">
        <v>0</v>
      </c>
      <c r="F9" s="74"/>
      <c r="G9" s="74"/>
      <c r="H9" s="74"/>
      <c r="I9" s="74"/>
      <c r="J9" s="74"/>
      <c r="K9" s="74"/>
      <c r="L9" s="74"/>
      <c r="M9" s="74"/>
      <c r="N9" s="74"/>
      <c r="O9" s="74"/>
      <c r="P9" s="46"/>
      <c r="Q9" s="46"/>
      <c r="R9" s="11"/>
      <c r="AF9" s="9">
        <f>SUM(U11:AE11)</f>
        <v>4</v>
      </c>
      <c r="AQ9" s="41"/>
    </row>
    <row r="10" spans="2:43" x14ac:dyDescent="0.25">
      <c r="B10" s="12"/>
      <c r="C10" s="13"/>
      <c r="D10" s="45"/>
      <c r="E10" s="2">
        <f t="shared" ref="E10:G10" si="5">F10-1</f>
        <v>-5</v>
      </c>
      <c r="F10" s="2">
        <f t="shared" si="5"/>
        <v>-4</v>
      </c>
      <c r="G10" s="2">
        <f t="shared" si="5"/>
        <v>-3</v>
      </c>
      <c r="H10" s="2">
        <f>I10-1</f>
        <v>-2</v>
      </c>
      <c r="I10" s="2">
        <v>-1</v>
      </c>
      <c r="J10" s="2">
        <v>0</v>
      </c>
      <c r="K10" s="2">
        <f>J10+1</f>
        <v>1</v>
      </c>
      <c r="L10" s="2">
        <f t="shared" ref="L10:O10" si="6">K10+1</f>
        <v>2</v>
      </c>
      <c r="M10" s="2">
        <f t="shared" si="6"/>
        <v>3</v>
      </c>
      <c r="N10" s="2">
        <f t="shared" si="6"/>
        <v>4</v>
      </c>
      <c r="O10" s="2">
        <f t="shared" si="6"/>
        <v>5</v>
      </c>
      <c r="P10" s="45"/>
      <c r="Q10" s="45"/>
      <c r="R10" s="11"/>
      <c r="U10" s="2">
        <f t="shared" ref="U10:W10" si="7">V10-1</f>
        <v>-5</v>
      </c>
      <c r="V10" s="2">
        <f t="shared" si="7"/>
        <v>-4</v>
      </c>
      <c r="W10" s="2">
        <f t="shared" si="7"/>
        <v>-3</v>
      </c>
      <c r="X10" s="2">
        <f>Y10-1</f>
        <v>-2</v>
      </c>
      <c r="Y10" s="2">
        <v>-1</v>
      </c>
      <c r="Z10" s="2">
        <v>0</v>
      </c>
      <c r="AA10" s="2">
        <f>Z10+1</f>
        <v>1</v>
      </c>
      <c r="AB10" s="2">
        <f t="shared" ref="AB10:AE10" si="8">AA10+1</f>
        <v>2</v>
      </c>
      <c r="AC10" s="2">
        <f t="shared" si="8"/>
        <v>3</v>
      </c>
      <c r="AD10" s="2">
        <f t="shared" si="8"/>
        <v>4</v>
      </c>
      <c r="AE10" s="2">
        <f t="shared" si="8"/>
        <v>5</v>
      </c>
      <c r="AQ10" s="42" t="s">
        <v>44</v>
      </c>
    </row>
    <row r="11" spans="2:43" x14ac:dyDescent="0.25">
      <c r="B11" s="12"/>
      <c r="C11" s="13"/>
      <c r="D11" s="45"/>
      <c r="E11" s="2"/>
      <c r="F11" s="2"/>
      <c r="G11" s="2"/>
      <c r="H11" s="2"/>
      <c r="I11" s="2"/>
      <c r="J11" s="2"/>
      <c r="K11" s="2"/>
      <c r="L11" s="2"/>
      <c r="M11" s="2"/>
      <c r="N11" s="2" t="s">
        <v>53</v>
      </c>
      <c r="O11" s="2"/>
      <c r="P11" s="45"/>
      <c r="Q11" s="45"/>
      <c r="R11" s="11"/>
      <c r="U11" s="2" t="str">
        <f t="shared" ref="U11:AE11" si="9">IF(E11="x",E$6," ")</f>
        <v xml:space="preserve"> </v>
      </c>
      <c r="V11" s="2" t="str">
        <f t="shared" si="9"/>
        <v xml:space="preserve"> </v>
      </c>
      <c r="W11" s="2" t="str">
        <f t="shared" si="9"/>
        <v xml:space="preserve"> </v>
      </c>
      <c r="X11" s="2" t="str">
        <f t="shared" si="9"/>
        <v xml:space="preserve"> </v>
      </c>
      <c r="Y11" s="2" t="str">
        <f t="shared" si="9"/>
        <v xml:space="preserve"> </v>
      </c>
      <c r="Z11" s="2" t="str">
        <f t="shared" si="9"/>
        <v xml:space="preserve"> </v>
      </c>
      <c r="AA11" s="2" t="str">
        <f t="shared" si="9"/>
        <v xml:space="preserve"> </v>
      </c>
      <c r="AB11" s="2" t="str">
        <f t="shared" si="9"/>
        <v xml:space="preserve"> </v>
      </c>
      <c r="AC11" s="2" t="str">
        <f t="shared" si="9"/>
        <v xml:space="preserve"> </v>
      </c>
      <c r="AD11" s="2">
        <f t="shared" si="9"/>
        <v>4</v>
      </c>
      <c r="AE11" s="2" t="str">
        <f t="shared" si="9"/>
        <v xml:space="preserve"> </v>
      </c>
      <c r="AQ11" s="41"/>
    </row>
    <row r="12" spans="2:43" x14ac:dyDescent="0.25">
      <c r="B12" s="12"/>
      <c r="C12" s="13"/>
      <c r="D12" s="45"/>
      <c r="E12" s="50"/>
      <c r="F12" s="50"/>
      <c r="G12" s="50"/>
      <c r="H12" s="50"/>
      <c r="I12" s="50"/>
      <c r="J12" s="50"/>
      <c r="K12" s="50"/>
      <c r="L12" s="50"/>
      <c r="M12" s="50"/>
      <c r="N12" s="50"/>
      <c r="O12" s="50"/>
      <c r="P12" s="45"/>
      <c r="Q12" s="45"/>
      <c r="R12" s="11"/>
      <c r="AQ12" s="41"/>
    </row>
    <row r="13" spans="2:43" ht="33.6" customHeight="1" x14ac:dyDescent="0.25">
      <c r="B13" s="12"/>
      <c r="C13" s="13"/>
      <c r="D13" s="45"/>
      <c r="E13" s="75" t="s">
        <v>48</v>
      </c>
      <c r="F13" s="76"/>
      <c r="G13" s="76"/>
      <c r="H13" s="76"/>
      <c r="I13" s="76"/>
      <c r="J13" s="76"/>
      <c r="K13" s="76"/>
      <c r="L13" s="76"/>
      <c r="M13" s="76"/>
      <c r="N13" s="76"/>
      <c r="O13" s="77"/>
      <c r="P13" s="66" t="s">
        <v>63</v>
      </c>
      <c r="Q13" s="66"/>
      <c r="R13" s="11"/>
      <c r="AQ13" s="41"/>
    </row>
    <row r="14" spans="2:43" ht="21" customHeight="1" x14ac:dyDescent="0.25">
      <c r="B14" s="12"/>
      <c r="C14" s="13"/>
      <c r="D14" s="78" t="s">
        <v>2</v>
      </c>
      <c r="E14" s="78"/>
      <c r="F14" s="78"/>
      <c r="G14" s="78"/>
      <c r="H14" s="78"/>
      <c r="I14" s="78"/>
      <c r="J14" s="78"/>
      <c r="K14" s="78"/>
      <c r="L14" s="78"/>
      <c r="M14" s="78"/>
      <c r="N14" s="78"/>
      <c r="O14" s="78"/>
      <c r="P14" s="78"/>
      <c r="Q14" s="78"/>
      <c r="R14" s="79"/>
      <c r="AQ14" s="41"/>
    </row>
    <row r="15" spans="2:43" s="4" customFormat="1" ht="29.1" customHeight="1" x14ac:dyDescent="0.25">
      <c r="B15" s="71" t="s">
        <v>52</v>
      </c>
      <c r="C15" s="72"/>
      <c r="D15" s="80" t="s">
        <v>65</v>
      </c>
      <c r="E15" s="80"/>
      <c r="F15" s="80"/>
      <c r="G15" s="80"/>
      <c r="H15" s="80"/>
      <c r="I15" s="80"/>
      <c r="J15" s="80"/>
      <c r="K15" s="80"/>
      <c r="L15" s="80"/>
      <c r="M15" s="80"/>
      <c r="N15" s="80"/>
      <c r="O15" s="80"/>
      <c r="P15" s="80"/>
      <c r="Q15" s="80"/>
      <c r="R15" s="81"/>
      <c r="AF15" s="44"/>
      <c r="AQ15" s="43" t="s">
        <v>45</v>
      </c>
    </row>
    <row r="16" spans="2:43" ht="90.6" customHeight="1" x14ac:dyDescent="0.25">
      <c r="B16" s="88" t="s">
        <v>69</v>
      </c>
      <c r="C16" s="89"/>
      <c r="D16" s="80"/>
      <c r="E16" s="80"/>
      <c r="F16" s="80"/>
      <c r="G16" s="80"/>
      <c r="H16" s="80"/>
      <c r="I16" s="80"/>
      <c r="J16" s="80"/>
      <c r="K16" s="80"/>
      <c r="L16" s="80"/>
      <c r="M16" s="80"/>
      <c r="N16" s="80"/>
      <c r="O16" s="80"/>
      <c r="P16" s="80"/>
      <c r="Q16" s="80"/>
      <c r="R16" s="81"/>
      <c r="AQ16" s="42"/>
    </row>
    <row r="17" spans="2:43" ht="45" customHeight="1" x14ac:dyDescent="0.25">
      <c r="B17" s="71" t="s">
        <v>47</v>
      </c>
      <c r="C17" s="72"/>
      <c r="D17" s="80" t="s">
        <v>70</v>
      </c>
      <c r="E17" s="80"/>
      <c r="F17" s="80"/>
      <c r="G17" s="80"/>
      <c r="H17" s="80"/>
      <c r="I17" s="80"/>
      <c r="J17" s="80"/>
      <c r="K17" s="80"/>
      <c r="L17" s="80"/>
      <c r="M17" s="80"/>
      <c r="N17" s="80"/>
      <c r="O17" s="80"/>
      <c r="P17" s="80"/>
      <c r="Q17" s="80"/>
      <c r="R17" s="81"/>
      <c r="AQ17" s="42"/>
    </row>
    <row r="18" spans="2:43" ht="90" customHeight="1" x14ac:dyDescent="0.25">
      <c r="B18" s="88" t="s">
        <v>66</v>
      </c>
      <c r="C18" s="89"/>
      <c r="D18" s="80"/>
      <c r="E18" s="80"/>
      <c r="F18" s="80"/>
      <c r="G18" s="80"/>
      <c r="H18" s="80"/>
      <c r="I18" s="80"/>
      <c r="J18" s="80"/>
      <c r="K18" s="80"/>
      <c r="L18" s="80"/>
      <c r="M18" s="80"/>
      <c r="N18" s="80"/>
      <c r="O18" s="80"/>
      <c r="P18" s="80"/>
      <c r="Q18" s="80"/>
      <c r="R18" s="81"/>
      <c r="AQ18" s="42"/>
    </row>
    <row r="19" spans="2:43" ht="29.1" customHeight="1" x14ac:dyDescent="0.25">
      <c r="B19" s="86" t="s">
        <v>49</v>
      </c>
      <c r="C19" s="87"/>
      <c r="D19" s="80" t="s">
        <v>71</v>
      </c>
      <c r="E19" s="80"/>
      <c r="F19" s="80"/>
      <c r="G19" s="80"/>
      <c r="H19" s="80"/>
      <c r="I19" s="80"/>
      <c r="J19" s="80"/>
      <c r="K19" s="80"/>
      <c r="L19" s="80"/>
      <c r="M19" s="80"/>
      <c r="N19" s="80"/>
      <c r="O19" s="80"/>
      <c r="P19" s="80"/>
      <c r="Q19" s="80"/>
      <c r="R19" s="81"/>
      <c r="AQ19" s="42"/>
    </row>
    <row r="20" spans="2:43" ht="90" customHeight="1" x14ac:dyDescent="0.25">
      <c r="B20" s="88" t="s">
        <v>68</v>
      </c>
      <c r="C20" s="89"/>
      <c r="D20" s="80"/>
      <c r="E20" s="80"/>
      <c r="F20" s="80"/>
      <c r="G20" s="80"/>
      <c r="H20" s="80"/>
      <c r="I20" s="80"/>
      <c r="J20" s="80"/>
      <c r="K20" s="80"/>
      <c r="L20" s="80"/>
      <c r="M20" s="80"/>
      <c r="N20" s="80"/>
      <c r="O20" s="80"/>
      <c r="P20" s="80"/>
      <c r="Q20" s="80"/>
      <c r="R20" s="81"/>
      <c r="AQ20" s="42"/>
    </row>
    <row r="21" spans="2:43" ht="29.1" customHeight="1" x14ac:dyDescent="0.25">
      <c r="B21" s="86" t="s">
        <v>50</v>
      </c>
      <c r="C21" s="87"/>
      <c r="D21" s="82"/>
      <c r="E21" s="82"/>
      <c r="F21" s="82"/>
      <c r="G21" s="82"/>
      <c r="H21" s="82"/>
      <c r="I21" s="82"/>
      <c r="J21" s="82"/>
      <c r="K21" s="82"/>
      <c r="L21" s="82"/>
      <c r="M21" s="82"/>
      <c r="N21" s="82"/>
      <c r="O21" s="82"/>
      <c r="P21" s="82"/>
      <c r="Q21" s="82"/>
      <c r="R21" s="83"/>
      <c r="AQ21" s="42"/>
    </row>
    <row r="22" spans="2:43" ht="90" customHeight="1" x14ac:dyDescent="0.25">
      <c r="B22" s="88" t="s">
        <v>67</v>
      </c>
      <c r="C22" s="89"/>
      <c r="D22" s="82"/>
      <c r="E22" s="82"/>
      <c r="F22" s="82"/>
      <c r="G22" s="82"/>
      <c r="H22" s="82"/>
      <c r="I22" s="82"/>
      <c r="J22" s="82"/>
      <c r="K22" s="82"/>
      <c r="L22" s="82"/>
      <c r="M22" s="82"/>
      <c r="N22" s="82"/>
      <c r="O22" s="82"/>
      <c r="P22" s="82"/>
      <c r="Q22" s="82"/>
      <c r="R22" s="83"/>
      <c r="AQ22" s="42"/>
    </row>
    <row r="23" spans="2:43" ht="46.5" customHeight="1" x14ac:dyDescent="0.25">
      <c r="B23" s="71" t="s">
        <v>51</v>
      </c>
      <c r="C23" s="72"/>
      <c r="D23" s="82"/>
      <c r="E23" s="82"/>
      <c r="F23" s="82"/>
      <c r="G23" s="82"/>
      <c r="H23" s="82"/>
      <c r="I23" s="82"/>
      <c r="J23" s="82"/>
      <c r="K23" s="82"/>
      <c r="L23" s="82"/>
      <c r="M23" s="82"/>
      <c r="N23" s="82"/>
      <c r="O23" s="82"/>
      <c r="P23" s="82"/>
      <c r="Q23" s="82"/>
      <c r="R23" s="83"/>
      <c r="AQ23" s="42"/>
    </row>
    <row r="24" spans="2:43" ht="90" customHeight="1" thickBot="1" x14ac:dyDescent="0.3">
      <c r="B24" s="90"/>
      <c r="C24" s="91"/>
      <c r="D24" s="84"/>
      <c r="E24" s="84"/>
      <c r="F24" s="84"/>
      <c r="G24" s="84"/>
      <c r="H24" s="84"/>
      <c r="I24" s="84"/>
      <c r="J24" s="84"/>
      <c r="K24" s="84"/>
      <c r="L24" s="84"/>
      <c r="M24" s="84"/>
      <c r="N24" s="84"/>
      <c r="O24" s="84"/>
      <c r="P24" s="84"/>
      <c r="Q24" s="84"/>
      <c r="R24" s="85"/>
      <c r="AQ24" s="42"/>
    </row>
    <row r="29" spans="2:43" ht="15.75" thickBot="1" x14ac:dyDescent="0.3"/>
    <row r="30" spans="2:43" ht="18.75" x14ac:dyDescent="0.3">
      <c r="B30" s="48">
        <v>2</v>
      </c>
      <c r="C30" s="49" t="s">
        <v>62</v>
      </c>
      <c r="D30" s="6"/>
      <c r="E30" s="73" t="s">
        <v>9</v>
      </c>
      <c r="F30" s="73"/>
      <c r="G30" s="73"/>
      <c r="H30" s="73"/>
      <c r="I30" s="73"/>
      <c r="J30" s="73"/>
      <c r="K30" s="73"/>
      <c r="L30" s="73"/>
      <c r="M30" s="73"/>
      <c r="N30" s="73"/>
      <c r="O30" s="73"/>
      <c r="P30" s="6"/>
      <c r="Q30" s="6"/>
      <c r="R30" s="10"/>
    </row>
    <row r="31" spans="2:43" x14ac:dyDescent="0.25">
      <c r="B31" s="67"/>
      <c r="C31" s="68"/>
      <c r="D31" s="45"/>
      <c r="E31" s="74" t="s">
        <v>1</v>
      </c>
      <c r="F31" s="74"/>
      <c r="G31" s="74"/>
      <c r="H31" s="74"/>
      <c r="I31" s="74"/>
      <c r="J31" s="74"/>
      <c r="K31" s="74"/>
      <c r="L31" s="74"/>
      <c r="M31" s="74"/>
      <c r="N31" s="74"/>
      <c r="O31" s="74"/>
      <c r="P31" s="46"/>
      <c r="Q31" s="46"/>
      <c r="R31" s="11"/>
    </row>
    <row r="32" spans="2:43" ht="18.75" x14ac:dyDescent="0.3">
      <c r="B32" s="69" t="s">
        <v>46</v>
      </c>
      <c r="C32" s="70"/>
      <c r="D32" s="45"/>
      <c r="E32" s="2">
        <f t="shared" ref="E32" si="10">F32-1</f>
        <v>-5</v>
      </c>
      <c r="F32" s="2">
        <f t="shared" ref="F32" si="11">G32-1</f>
        <v>-4</v>
      </c>
      <c r="G32" s="2">
        <f t="shared" ref="G32" si="12">H32-1</f>
        <v>-3</v>
      </c>
      <c r="H32" s="2">
        <f>I32-1</f>
        <v>-2</v>
      </c>
      <c r="I32" s="2">
        <v>-1</v>
      </c>
      <c r="J32" s="2">
        <v>0</v>
      </c>
      <c r="K32" s="2">
        <f>J32+1</f>
        <v>1</v>
      </c>
      <c r="L32" s="2">
        <f t="shared" ref="L32" si="13">K32+1</f>
        <v>2</v>
      </c>
      <c r="M32" s="2">
        <f t="shared" ref="M32" si="14">L32+1</f>
        <v>3</v>
      </c>
      <c r="N32" s="2">
        <f t="shared" ref="N32" si="15">M32+1</f>
        <v>4</v>
      </c>
      <c r="O32" s="2">
        <f t="shared" ref="O32" si="16">N32+1</f>
        <v>5</v>
      </c>
      <c r="P32" s="45"/>
      <c r="Q32" s="45"/>
      <c r="R32" s="11"/>
      <c r="U32" s="2">
        <f t="shared" ref="U32" si="17">V32-1</f>
        <v>-5</v>
      </c>
      <c r="V32" s="2">
        <f t="shared" ref="V32" si="18">W32-1</f>
        <v>-4</v>
      </c>
      <c r="W32" s="2">
        <f t="shared" ref="W32" si="19">X32-1</f>
        <v>-3</v>
      </c>
      <c r="X32" s="2">
        <f>Y32-1</f>
        <v>-2</v>
      </c>
      <c r="Y32" s="2">
        <v>-1</v>
      </c>
      <c r="Z32" s="2">
        <v>0</v>
      </c>
      <c r="AA32" s="2">
        <f>Z32+1</f>
        <v>1</v>
      </c>
      <c r="AB32" s="2">
        <f t="shared" ref="AB32" si="20">AA32+1</f>
        <v>2</v>
      </c>
      <c r="AC32" s="2">
        <f t="shared" ref="AC32" si="21">AB32+1</f>
        <v>3</v>
      </c>
      <c r="AD32" s="2">
        <f t="shared" ref="AD32" si="22">AC32+1</f>
        <v>4</v>
      </c>
      <c r="AE32" s="2">
        <f t="shared" ref="AE32" si="23">AD32+1</f>
        <v>5</v>
      </c>
    </row>
    <row r="33" spans="2:32" x14ac:dyDescent="0.25">
      <c r="B33" s="12"/>
      <c r="C33" s="13"/>
      <c r="D33" s="45"/>
      <c r="E33" s="2"/>
      <c r="F33" s="2"/>
      <c r="G33" s="2"/>
      <c r="H33" s="2"/>
      <c r="I33" s="2"/>
      <c r="J33" s="2"/>
      <c r="K33" s="2"/>
      <c r="L33" s="2"/>
      <c r="M33" s="2" t="s">
        <v>53</v>
      </c>
      <c r="N33" s="2"/>
      <c r="O33" s="2"/>
      <c r="P33" s="45"/>
      <c r="Q33" s="45"/>
      <c r="R33" s="11"/>
      <c r="U33" s="2" t="str">
        <f t="shared" ref="U33" si="24">IF(E33="x",E$6," ")</f>
        <v xml:space="preserve"> </v>
      </c>
      <c r="V33" s="2" t="str">
        <f t="shared" ref="V33" si="25">IF(F33="x",F$6," ")</f>
        <v xml:space="preserve"> </v>
      </c>
      <c r="W33" s="2" t="str">
        <f t="shared" ref="W33" si="26">IF(G33="x",G$6," ")</f>
        <v xml:space="preserve"> </v>
      </c>
      <c r="X33" s="2" t="str">
        <f t="shared" ref="X33" si="27">IF(H33="x",H$6," ")</f>
        <v xml:space="preserve"> </v>
      </c>
      <c r="Y33" s="2" t="str">
        <f t="shared" ref="Y33" si="28">IF(I33="x",I$6," ")</f>
        <v xml:space="preserve"> </v>
      </c>
      <c r="Z33" s="2" t="str">
        <f t="shared" ref="Z33" si="29">IF(J33="x",J$6," ")</f>
        <v xml:space="preserve"> </v>
      </c>
      <c r="AA33" s="2" t="str">
        <f t="shared" ref="AA33" si="30">IF(K33="x",K$6," ")</f>
        <v xml:space="preserve"> </v>
      </c>
      <c r="AB33" s="2" t="str">
        <f t="shared" ref="AB33" si="31">IF(L33="x",L$6," ")</f>
        <v xml:space="preserve"> </v>
      </c>
      <c r="AC33" s="2">
        <f t="shared" ref="AC33" si="32">IF(M33="x",M$6," ")</f>
        <v>3</v>
      </c>
      <c r="AD33" s="2" t="str">
        <f t="shared" ref="AD33" si="33">IF(N33="x",N$6," ")</f>
        <v xml:space="preserve"> </v>
      </c>
      <c r="AE33" s="2" t="str">
        <f t="shared" ref="AE33" si="34">IF(O33="x",O$6," ")</f>
        <v xml:space="preserve"> </v>
      </c>
    </row>
    <row r="34" spans="2:32" x14ac:dyDescent="0.25">
      <c r="B34" s="12"/>
      <c r="C34" s="14" t="s">
        <v>64</v>
      </c>
      <c r="D34" s="45"/>
      <c r="E34" s="45"/>
      <c r="F34" s="45"/>
      <c r="G34" s="45"/>
      <c r="H34" s="45"/>
      <c r="I34" s="45"/>
      <c r="J34" s="45"/>
      <c r="K34" s="45"/>
      <c r="L34" s="45"/>
      <c r="M34" s="45"/>
      <c r="N34" s="45"/>
      <c r="O34" s="45"/>
      <c r="P34" s="45"/>
      <c r="Q34" s="45"/>
      <c r="R34" s="11"/>
      <c r="AF34" s="9">
        <f>SUM(U33:AE33)</f>
        <v>3</v>
      </c>
    </row>
    <row r="35" spans="2:32" x14ac:dyDescent="0.25">
      <c r="B35" s="12"/>
      <c r="C35" s="47"/>
      <c r="D35" s="45"/>
      <c r="E35" s="74" t="s">
        <v>0</v>
      </c>
      <c r="F35" s="74"/>
      <c r="G35" s="74"/>
      <c r="H35" s="74"/>
      <c r="I35" s="74"/>
      <c r="J35" s="74"/>
      <c r="K35" s="74"/>
      <c r="L35" s="74"/>
      <c r="M35" s="74"/>
      <c r="N35" s="74"/>
      <c r="O35" s="74"/>
      <c r="P35" s="46"/>
      <c r="Q35" s="46"/>
      <c r="R35" s="11"/>
      <c r="AF35" s="9">
        <f>SUM(U37:AE37)</f>
        <v>4</v>
      </c>
    </row>
    <row r="36" spans="2:32" x14ac:dyDescent="0.25">
      <c r="B36" s="12"/>
      <c r="C36" s="13"/>
      <c r="D36" s="45"/>
      <c r="E36" s="2">
        <f t="shared" ref="E36" si="35">F36-1</f>
        <v>-5</v>
      </c>
      <c r="F36" s="2">
        <f t="shared" ref="F36" si="36">G36-1</f>
        <v>-4</v>
      </c>
      <c r="G36" s="2">
        <f t="shared" ref="G36" si="37">H36-1</f>
        <v>-3</v>
      </c>
      <c r="H36" s="2">
        <f>I36-1</f>
        <v>-2</v>
      </c>
      <c r="I36" s="2">
        <v>-1</v>
      </c>
      <c r="J36" s="2">
        <v>0</v>
      </c>
      <c r="K36" s="2">
        <f>J36+1</f>
        <v>1</v>
      </c>
      <c r="L36" s="2">
        <f t="shared" ref="L36" si="38">K36+1</f>
        <v>2</v>
      </c>
      <c r="M36" s="2">
        <f t="shared" ref="M36" si="39">L36+1</f>
        <v>3</v>
      </c>
      <c r="N36" s="2">
        <f t="shared" ref="N36" si="40">M36+1</f>
        <v>4</v>
      </c>
      <c r="O36" s="2">
        <f t="shared" ref="O36" si="41">N36+1</f>
        <v>5</v>
      </c>
      <c r="P36" s="45"/>
      <c r="Q36" s="45"/>
      <c r="R36" s="11"/>
      <c r="U36" s="2">
        <f t="shared" ref="U36" si="42">V36-1</f>
        <v>-5</v>
      </c>
      <c r="V36" s="2">
        <f t="shared" ref="V36" si="43">W36-1</f>
        <v>-4</v>
      </c>
      <c r="W36" s="2">
        <f t="shared" ref="W36" si="44">X36-1</f>
        <v>-3</v>
      </c>
      <c r="X36" s="2">
        <f>Y36-1</f>
        <v>-2</v>
      </c>
      <c r="Y36" s="2">
        <v>-1</v>
      </c>
      <c r="Z36" s="2">
        <v>0</v>
      </c>
      <c r="AA36" s="2">
        <f>Z36+1</f>
        <v>1</v>
      </c>
      <c r="AB36" s="2">
        <f t="shared" ref="AB36" si="45">AA36+1</f>
        <v>2</v>
      </c>
      <c r="AC36" s="2">
        <f t="shared" ref="AC36" si="46">AB36+1</f>
        <v>3</v>
      </c>
      <c r="AD36" s="2">
        <f t="shared" ref="AD36" si="47">AC36+1</f>
        <v>4</v>
      </c>
      <c r="AE36" s="2">
        <f t="shared" ref="AE36" si="48">AD36+1</f>
        <v>5</v>
      </c>
    </row>
    <row r="37" spans="2:32" x14ac:dyDescent="0.25">
      <c r="B37" s="12"/>
      <c r="C37" s="13"/>
      <c r="D37" s="45"/>
      <c r="E37" s="2"/>
      <c r="F37" s="2"/>
      <c r="G37" s="2"/>
      <c r="H37" s="2"/>
      <c r="I37" s="2"/>
      <c r="J37" s="2"/>
      <c r="K37" s="2"/>
      <c r="L37" s="2"/>
      <c r="M37" s="2"/>
      <c r="N37" s="2" t="s">
        <v>53</v>
      </c>
      <c r="O37" s="2"/>
      <c r="P37" s="45"/>
      <c r="Q37" s="45"/>
      <c r="R37" s="11"/>
      <c r="U37" s="2" t="str">
        <f t="shared" ref="U37" si="49">IF(E37="x",E$6," ")</f>
        <v xml:space="preserve"> </v>
      </c>
      <c r="V37" s="2" t="str">
        <f t="shared" ref="V37" si="50">IF(F37="x",F$6," ")</f>
        <v xml:space="preserve"> </v>
      </c>
      <c r="W37" s="2" t="str">
        <f t="shared" ref="W37" si="51">IF(G37="x",G$6," ")</f>
        <v xml:space="preserve"> </v>
      </c>
      <c r="X37" s="2" t="str">
        <f t="shared" ref="X37" si="52">IF(H37="x",H$6," ")</f>
        <v xml:space="preserve"> </v>
      </c>
      <c r="Y37" s="2" t="str">
        <f t="shared" ref="Y37" si="53">IF(I37="x",I$6," ")</f>
        <v xml:space="preserve"> </v>
      </c>
      <c r="Z37" s="2" t="str">
        <f t="shared" ref="Z37" si="54">IF(J37="x",J$6," ")</f>
        <v xml:space="preserve"> </v>
      </c>
      <c r="AA37" s="2" t="str">
        <f t="shared" ref="AA37" si="55">IF(K37="x",K$6," ")</f>
        <v xml:space="preserve"> </v>
      </c>
      <c r="AB37" s="2" t="str">
        <f t="shared" ref="AB37" si="56">IF(L37="x",L$6," ")</f>
        <v xml:space="preserve"> </v>
      </c>
      <c r="AC37" s="2" t="str">
        <f t="shared" ref="AC37" si="57">IF(M37="x",M$6," ")</f>
        <v xml:space="preserve"> </v>
      </c>
      <c r="AD37" s="2">
        <f t="shared" ref="AD37" si="58">IF(N37="x",N$6," ")</f>
        <v>4</v>
      </c>
      <c r="AE37" s="2" t="str">
        <f t="shared" ref="AE37" si="59">IF(O37="x",O$6," ")</f>
        <v xml:space="preserve"> </v>
      </c>
    </row>
    <row r="38" spans="2:32" x14ac:dyDescent="0.25">
      <c r="B38" s="12"/>
      <c r="C38" s="13"/>
      <c r="D38" s="45"/>
      <c r="E38" s="50"/>
      <c r="F38" s="50"/>
      <c r="G38" s="50"/>
      <c r="H38" s="50"/>
      <c r="I38" s="50"/>
      <c r="J38" s="50"/>
      <c r="K38" s="50"/>
      <c r="L38" s="50"/>
      <c r="M38" s="50"/>
      <c r="N38" s="50"/>
      <c r="O38" s="50"/>
      <c r="P38" s="45"/>
      <c r="Q38" s="45"/>
      <c r="R38" s="11"/>
    </row>
    <row r="39" spans="2:32" ht="15.75" x14ac:dyDescent="0.25">
      <c r="B39" s="12"/>
      <c r="C39" s="13"/>
      <c r="D39" s="45"/>
      <c r="E39" s="75" t="s">
        <v>48</v>
      </c>
      <c r="F39" s="76"/>
      <c r="G39" s="76"/>
      <c r="H39" s="76"/>
      <c r="I39" s="76"/>
      <c r="J39" s="76"/>
      <c r="K39" s="76"/>
      <c r="L39" s="76"/>
      <c r="M39" s="76"/>
      <c r="N39" s="76"/>
      <c r="O39" s="77"/>
      <c r="P39" s="66" t="s">
        <v>63</v>
      </c>
      <c r="Q39" s="66"/>
      <c r="R39" s="11"/>
    </row>
    <row r="40" spans="2:32" ht="21" x14ac:dyDescent="0.25">
      <c r="B40" s="12"/>
      <c r="C40" s="13"/>
      <c r="D40" s="78" t="s">
        <v>2</v>
      </c>
      <c r="E40" s="78"/>
      <c r="F40" s="78"/>
      <c r="G40" s="78"/>
      <c r="H40" s="78"/>
      <c r="I40" s="78"/>
      <c r="J40" s="78"/>
      <c r="K40" s="78"/>
      <c r="L40" s="78"/>
      <c r="M40" s="78"/>
      <c r="N40" s="78"/>
      <c r="O40" s="78"/>
      <c r="P40" s="78"/>
      <c r="Q40" s="78"/>
      <c r="R40" s="79"/>
    </row>
    <row r="41" spans="2:32" ht="46.5" customHeight="1" x14ac:dyDescent="0.25">
      <c r="B41" s="71" t="s">
        <v>52</v>
      </c>
      <c r="C41" s="72"/>
      <c r="D41" s="94"/>
      <c r="E41" s="94"/>
      <c r="F41" s="94"/>
      <c r="G41" s="94"/>
      <c r="H41" s="94"/>
      <c r="I41" s="94"/>
      <c r="J41" s="94"/>
      <c r="K41" s="94"/>
      <c r="L41" s="94"/>
      <c r="M41" s="94"/>
      <c r="N41" s="94"/>
      <c r="O41" s="94"/>
      <c r="P41" s="94"/>
      <c r="Q41" s="94"/>
      <c r="R41" s="95"/>
      <c r="S41" s="4"/>
      <c r="T41" s="4"/>
      <c r="U41" s="4"/>
      <c r="V41" s="4"/>
      <c r="W41" s="4"/>
      <c r="X41" s="4"/>
      <c r="Y41" s="4"/>
      <c r="Z41" s="4"/>
      <c r="AA41" s="4"/>
      <c r="AB41" s="4"/>
      <c r="AC41" s="4"/>
      <c r="AD41" s="4"/>
      <c r="AE41" s="4"/>
      <c r="AF41" s="44"/>
    </row>
    <row r="42" spans="2:32" ht="90" customHeight="1" x14ac:dyDescent="0.25">
      <c r="B42" s="92"/>
      <c r="C42" s="93"/>
      <c r="D42" s="94"/>
      <c r="E42" s="94"/>
      <c r="F42" s="94"/>
      <c r="G42" s="94"/>
      <c r="H42" s="94"/>
      <c r="I42" s="94"/>
      <c r="J42" s="94"/>
      <c r="K42" s="94"/>
      <c r="L42" s="94"/>
      <c r="M42" s="94"/>
      <c r="N42" s="94"/>
      <c r="O42" s="94"/>
      <c r="P42" s="94"/>
      <c r="Q42" s="94"/>
      <c r="R42" s="95"/>
    </row>
    <row r="43" spans="2:32" ht="46.5" customHeight="1" x14ac:dyDescent="0.25">
      <c r="B43" s="71" t="s">
        <v>47</v>
      </c>
      <c r="C43" s="72"/>
      <c r="D43" s="94"/>
      <c r="E43" s="94"/>
      <c r="F43" s="94"/>
      <c r="G43" s="94"/>
      <c r="H43" s="94"/>
      <c r="I43" s="94"/>
      <c r="J43" s="94"/>
      <c r="K43" s="94"/>
      <c r="L43" s="94"/>
      <c r="M43" s="94"/>
      <c r="N43" s="94"/>
      <c r="O43" s="94"/>
      <c r="P43" s="94"/>
      <c r="Q43" s="94"/>
      <c r="R43" s="95"/>
    </row>
    <row r="44" spans="2:32" ht="90" customHeight="1" x14ac:dyDescent="0.25">
      <c r="B44" s="92"/>
      <c r="C44" s="93"/>
      <c r="D44" s="94"/>
      <c r="E44" s="94"/>
      <c r="F44" s="94"/>
      <c r="G44" s="94"/>
      <c r="H44" s="94"/>
      <c r="I44" s="94"/>
      <c r="J44" s="94"/>
      <c r="K44" s="94"/>
      <c r="L44" s="94"/>
      <c r="M44" s="94"/>
      <c r="N44" s="94"/>
      <c r="O44" s="94"/>
      <c r="P44" s="94"/>
      <c r="Q44" s="94"/>
      <c r="R44" s="95"/>
    </row>
    <row r="45" spans="2:32" ht="46.5" customHeight="1" x14ac:dyDescent="0.25">
      <c r="B45" s="86" t="s">
        <v>49</v>
      </c>
      <c r="C45" s="87"/>
      <c r="D45" s="82"/>
      <c r="E45" s="82"/>
      <c r="F45" s="82"/>
      <c r="G45" s="82"/>
      <c r="H45" s="82"/>
      <c r="I45" s="82"/>
      <c r="J45" s="82"/>
      <c r="K45" s="82"/>
      <c r="L45" s="82"/>
      <c r="M45" s="82"/>
      <c r="N45" s="82"/>
      <c r="O45" s="82"/>
      <c r="P45" s="82"/>
      <c r="Q45" s="82"/>
      <c r="R45" s="83"/>
    </row>
    <row r="46" spans="2:32" ht="90" customHeight="1" x14ac:dyDescent="0.25">
      <c r="B46" s="92"/>
      <c r="C46" s="93"/>
      <c r="D46" s="82"/>
      <c r="E46" s="82"/>
      <c r="F46" s="82"/>
      <c r="G46" s="82"/>
      <c r="H46" s="82"/>
      <c r="I46" s="82"/>
      <c r="J46" s="82"/>
      <c r="K46" s="82"/>
      <c r="L46" s="82"/>
      <c r="M46" s="82"/>
      <c r="N46" s="82"/>
      <c r="O46" s="82"/>
      <c r="P46" s="82"/>
      <c r="Q46" s="82"/>
      <c r="R46" s="83"/>
    </row>
    <row r="47" spans="2:32" ht="46.5" customHeight="1" x14ac:dyDescent="0.25">
      <c r="B47" s="86" t="s">
        <v>50</v>
      </c>
      <c r="C47" s="87"/>
      <c r="D47" s="82"/>
      <c r="E47" s="82"/>
      <c r="F47" s="82"/>
      <c r="G47" s="82"/>
      <c r="H47" s="82"/>
      <c r="I47" s="82"/>
      <c r="J47" s="82"/>
      <c r="K47" s="82"/>
      <c r="L47" s="82"/>
      <c r="M47" s="82"/>
      <c r="N47" s="82"/>
      <c r="O47" s="82"/>
      <c r="P47" s="82"/>
      <c r="Q47" s="82"/>
      <c r="R47" s="83"/>
    </row>
    <row r="48" spans="2:32" ht="90" customHeight="1" x14ac:dyDescent="0.25">
      <c r="B48" s="92"/>
      <c r="C48" s="93"/>
      <c r="D48" s="82"/>
      <c r="E48" s="82"/>
      <c r="F48" s="82"/>
      <c r="G48" s="82"/>
      <c r="H48" s="82"/>
      <c r="I48" s="82"/>
      <c r="J48" s="82"/>
      <c r="K48" s="82"/>
      <c r="L48" s="82"/>
      <c r="M48" s="82"/>
      <c r="N48" s="82"/>
      <c r="O48" s="82"/>
      <c r="P48" s="82"/>
      <c r="Q48" s="82"/>
      <c r="R48" s="83"/>
    </row>
    <row r="49" spans="2:18" ht="46.5" customHeight="1" x14ac:dyDescent="0.25">
      <c r="B49" s="71" t="s">
        <v>51</v>
      </c>
      <c r="C49" s="72"/>
      <c r="D49" s="82"/>
      <c r="E49" s="82"/>
      <c r="F49" s="82"/>
      <c r="G49" s="82"/>
      <c r="H49" s="82"/>
      <c r="I49" s="82"/>
      <c r="J49" s="82"/>
      <c r="K49" s="82"/>
      <c r="L49" s="82"/>
      <c r="M49" s="82"/>
      <c r="N49" s="82"/>
      <c r="O49" s="82"/>
      <c r="P49" s="82"/>
      <c r="Q49" s="82"/>
      <c r="R49" s="83"/>
    </row>
    <row r="50" spans="2:18" ht="90" customHeight="1" thickBot="1" x14ac:dyDescent="0.3">
      <c r="B50" s="90"/>
      <c r="C50" s="91"/>
      <c r="D50" s="84"/>
      <c r="E50" s="84"/>
      <c r="F50" s="84"/>
      <c r="G50" s="84"/>
      <c r="H50" s="84"/>
      <c r="I50" s="84"/>
      <c r="J50" s="84"/>
      <c r="K50" s="84"/>
      <c r="L50" s="84"/>
      <c r="M50" s="84"/>
      <c r="N50" s="84"/>
      <c r="O50" s="84"/>
      <c r="P50" s="84"/>
      <c r="Q50" s="84"/>
      <c r="R50" s="85"/>
    </row>
  </sheetData>
  <mergeCells count="47">
    <mergeCell ref="B32:C32"/>
    <mergeCell ref="E35:O35"/>
    <mergeCell ref="E39:O39"/>
    <mergeCell ref="P39:Q39"/>
    <mergeCell ref="D40:R40"/>
    <mergeCell ref="D41:R42"/>
    <mergeCell ref="D43:R44"/>
    <mergeCell ref="D45:R46"/>
    <mergeCell ref="D47:R48"/>
    <mergeCell ref="D49:R50"/>
    <mergeCell ref="B50:C50"/>
    <mergeCell ref="B46:C46"/>
    <mergeCell ref="B47:C47"/>
    <mergeCell ref="B48:C48"/>
    <mergeCell ref="B49:C49"/>
    <mergeCell ref="B42:C42"/>
    <mergeCell ref="B43:C43"/>
    <mergeCell ref="B44:C44"/>
    <mergeCell ref="B45:C45"/>
    <mergeCell ref="B41:C41"/>
    <mergeCell ref="B31:C31"/>
    <mergeCell ref="B17:C17"/>
    <mergeCell ref="B24:C24"/>
    <mergeCell ref="D15:R16"/>
    <mergeCell ref="D17:R18"/>
    <mergeCell ref="E31:O31"/>
    <mergeCell ref="B16:C16"/>
    <mergeCell ref="B18:C18"/>
    <mergeCell ref="B20:C20"/>
    <mergeCell ref="B22:C22"/>
    <mergeCell ref="E30:O30"/>
    <mergeCell ref="D19:R20"/>
    <mergeCell ref="D21:R22"/>
    <mergeCell ref="D23:R24"/>
    <mergeCell ref="B19:C19"/>
    <mergeCell ref="B21:C21"/>
    <mergeCell ref="B23:C23"/>
    <mergeCell ref="B2:R2"/>
    <mergeCell ref="P13:Q13"/>
    <mergeCell ref="B5:C5"/>
    <mergeCell ref="B6:C6"/>
    <mergeCell ref="B15:C15"/>
    <mergeCell ref="E4:O4"/>
    <mergeCell ref="E5:O5"/>
    <mergeCell ref="E9:O9"/>
    <mergeCell ref="E13:O13"/>
    <mergeCell ref="D14:R1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AF8E-0DB1-4EEA-898B-A04202A70DAD}">
  <dimension ref="B2:F13"/>
  <sheetViews>
    <sheetView workbookViewId="0">
      <selection activeCell="I12" sqref="I12"/>
    </sheetView>
  </sheetViews>
  <sheetFormatPr defaultRowHeight="15" x14ac:dyDescent="0.25"/>
  <cols>
    <col min="2" max="2" width="50.5703125" customWidth="1"/>
    <col min="3" max="4" width="15.5703125" customWidth="1"/>
    <col min="5" max="5" width="15.5703125" style="3" customWidth="1"/>
    <col min="6" max="6" width="50.5703125" customWidth="1"/>
  </cols>
  <sheetData>
    <row r="2" spans="2:6" ht="18" x14ac:dyDescent="0.25">
      <c r="B2" s="53" t="s">
        <v>40</v>
      </c>
      <c r="C2" s="53"/>
      <c r="D2" s="53"/>
      <c r="E2" s="53"/>
      <c r="F2" s="53"/>
    </row>
    <row r="5" spans="2:6" x14ac:dyDescent="0.25">
      <c r="B5" s="40" t="s">
        <v>33</v>
      </c>
      <c r="C5" s="93"/>
      <c r="D5" s="93"/>
      <c r="E5" s="93"/>
      <c r="F5" s="2"/>
    </row>
    <row r="6" spans="2:6" x14ac:dyDescent="0.25">
      <c r="B6" s="96" t="s">
        <v>30</v>
      </c>
      <c r="C6" s="97" t="s">
        <v>31</v>
      </c>
      <c r="D6" s="97"/>
      <c r="E6" s="97"/>
      <c r="F6" s="96" t="s">
        <v>32</v>
      </c>
    </row>
    <row r="7" spans="2:6" ht="29.1" customHeight="1" x14ac:dyDescent="0.25">
      <c r="B7" s="96"/>
      <c r="C7" s="39" t="s">
        <v>36</v>
      </c>
      <c r="D7" s="39" t="s">
        <v>35</v>
      </c>
      <c r="E7" s="39" t="s">
        <v>34</v>
      </c>
      <c r="F7" s="96"/>
    </row>
    <row r="8" spans="2:6" ht="90" customHeight="1" x14ac:dyDescent="0.25">
      <c r="B8" s="2"/>
      <c r="C8" s="2"/>
      <c r="D8" s="2"/>
      <c r="E8" s="5"/>
      <c r="F8" s="2"/>
    </row>
    <row r="9" spans="2:6" ht="90" customHeight="1" x14ac:dyDescent="0.25">
      <c r="B9" s="2"/>
      <c r="C9" s="2"/>
      <c r="D9" s="2"/>
      <c r="E9" s="5"/>
      <c r="F9" s="2"/>
    </row>
    <row r="10" spans="2:6" ht="90" customHeight="1" x14ac:dyDescent="0.25">
      <c r="B10" s="2"/>
      <c r="C10" s="2"/>
      <c r="D10" s="2"/>
      <c r="E10" s="5"/>
      <c r="F10" s="2"/>
    </row>
    <row r="11" spans="2:6" ht="90" customHeight="1" x14ac:dyDescent="0.25">
      <c r="B11" s="2"/>
      <c r="C11" s="2"/>
      <c r="D11" s="2"/>
      <c r="E11" s="5"/>
      <c r="F11" s="2"/>
    </row>
    <row r="12" spans="2:6" ht="90" customHeight="1" x14ac:dyDescent="0.25">
      <c r="B12" s="2"/>
      <c r="C12" s="2"/>
      <c r="D12" s="2"/>
      <c r="E12" s="5"/>
      <c r="F12" s="2"/>
    </row>
    <row r="13" spans="2:6" ht="90" customHeight="1" x14ac:dyDescent="0.25">
      <c r="B13" s="2"/>
      <c r="C13" s="2"/>
      <c r="D13" s="2"/>
      <c r="E13" s="5"/>
      <c r="F13" s="2"/>
    </row>
  </sheetData>
  <mergeCells count="5">
    <mergeCell ref="B6:B7"/>
    <mergeCell ref="C6:E6"/>
    <mergeCell ref="F6:F7"/>
    <mergeCell ref="C5:E5"/>
    <mergeCell ref="B2:F2"/>
  </mergeCells>
  <pageMargins left="0.7" right="0.7" top="0.75" bottom="0.75" header="0.3" footer="0.3"/>
</worksheet>
</file>

<file path=docMetadata/LabelInfo.xml><?xml version="1.0" encoding="utf-8"?>
<clbl:labelList xmlns:clbl="http://schemas.microsoft.com/office/2020/mipLabelMetadata">
  <clbl:label id="{07ef1208-413c-4b5e-9cdd-64ef305754f0}" enabled="0" method="" siteId="{07ef1208-413c-4b5e-9cdd-64ef305754f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know yourself dashboard</vt:lpstr>
      <vt:lpstr>compass template</vt:lpstr>
      <vt:lpstr>good time journal template</vt:lpstr>
      <vt:lpstr>reframing clinic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Smith</dc:creator>
  <cp:lastModifiedBy>Binh Nguyen</cp:lastModifiedBy>
  <cp:lastPrinted>2024-03-21T08:28:26Z</cp:lastPrinted>
  <dcterms:created xsi:type="dcterms:W3CDTF">2023-12-11T16:23:30Z</dcterms:created>
  <dcterms:modified xsi:type="dcterms:W3CDTF">2026-03-31T09:04:02Z</dcterms:modified>
</cp:coreProperties>
</file>