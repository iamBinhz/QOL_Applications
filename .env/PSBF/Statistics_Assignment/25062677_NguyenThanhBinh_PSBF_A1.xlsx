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Ex3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4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TML-CSS-JS\University_QOL_Applications\Contents\PSBF\Statistics_Assignment\"/>
    </mc:Choice>
  </mc:AlternateContent>
  <xr:revisionPtr revIDLastSave="0" documentId="13_ncr:1_{EE76BF13-72D0-4DBE-B401-1F17B4981516}" xr6:coauthVersionLast="47" xr6:coauthVersionMax="47" xr10:uidLastSave="{00000000-0000-0000-0000-000000000000}"/>
  <bookViews>
    <workbookView xWindow="-120" yWindow="-120" windowWidth="29040" windowHeight="15720" activeTab="2" xr2:uid="{B3D9E67D-5204-49B6-98D9-61B158923667}"/>
  </bookViews>
  <sheets>
    <sheet name="UK" sheetId="2" r:id="rId1"/>
    <sheet name="China" sheetId="1" r:id="rId2"/>
    <sheet name="Findings" sheetId="4" r:id="rId3"/>
    <sheet name="Temporary" sheetId="5" r:id="rId4"/>
  </sheets>
  <definedNames>
    <definedName name="_xlchart.v1.0" hidden="1">Temporary!$D$1</definedName>
    <definedName name="_xlchart.v1.1" hidden="1">Temporary!$D$2:$D$42</definedName>
    <definedName name="_xlchart.v1.10" hidden="1">Temporary!$B$1</definedName>
    <definedName name="_xlchart.v1.11" hidden="1">Temporary!$B$2:$B$42</definedName>
    <definedName name="_xlchart.v1.12" hidden="1">Temporary!$D$1</definedName>
    <definedName name="_xlchart.v1.13" hidden="1">Temporary!$D$2:$D$42</definedName>
    <definedName name="_xlchart.v1.14" hidden="1">Temporary!$E$1</definedName>
    <definedName name="_xlchart.v1.15" hidden="1">Temporary!$E$2:$E$42</definedName>
    <definedName name="_xlchart.v1.2" hidden="1">Temporary!$E$1</definedName>
    <definedName name="_xlchart.v1.3" hidden="1">Temporary!$E$2:$E$42</definedName>
    <definedName name="_xlchart.v1.4" hidden="1">Temporary!$A$1</definedName>
    <definedName name="_xlchart.v1.5" hidden="1">Temporary!$A$2:$A$42</definedName>
    <definedName name="_xlchart.v1.6" hidden="1">Temporary!$B$1</definedName>
    <definedName name="_xlchart.v1.7" hidden="1">Temporary!$B$2:$B$42</definedName>
    <definedName name="_xlchart.v1.8" hidden="1">Temporary!$A$1</definedName>
    <definedName name="_xlchart.v1.9" hidden="1">Temporary!$A$2:$A$42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4" l="1"/>
  <c r="E7" i="4"/>
  <c r="E8" i="4"/>
  <c r="E9" i="4"/>
  <c r="E10" i="4"/>
  <c r="E11" i="4"/>
  <c r="E12" i="4"/>
  <c r="E13" i="4"/>
  <c r="E14" i="4"/>
  <c r="E15" i="4"/>
  <c r="E16" i="4"/>
  <c r="E17" i="4"/>
  <c r="E5" i="4"/>
  <c r="D6" i="4"/>
  <c r="D7" i="4"/>
  <c r="D8" i="4"/>
  <c r="D9" i="4"/>
  <c r="D10" i="4"/>
  <c r="D11" i="4"/>
  <c r="D12" i="4"/>
  <c r="D13" i="4"/>
  <c r="D14" i="4"/>
  <c r="D15" i="4"/>
  <c r="D16" i="4"/>
  <c r="D17" i="4"/>
  <c r="D5" i="4"/>
  <c r="C6" i="4"/>
  <c r="C7" i="4"/>
  <c r="C8" i="4"/>
  <c r="C9" i="4"/>
  <c r="C10" i="4"/>
  <c r="C11" i="4"/>
  <c r="C12" i="4"/>
  <c r="C13" i="4"/>
  <c r="C14" i="4"/>
  <c r="C15" i="4"/>
  <c r="C16" i="4"/>
  <c r="C17" i="4"/>
  <c r="C5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61" i="4"/>
  <c r="B60" i="4"/>
  <c r="E58" i="4"/>
  <c r="E57" i="4"/>
  <c r="E56" i="4"/>
  <c r="D58" i="4"/>
  <c r="D57" i="4"/>
  <c r="D56" i="4"/>
  <c r="C58" i="4"/>
  <c r="C57" i="4"/>
  <c r="C56" i="4"/>
  <c r="B58" i="4"/>
  <c r="B57" i="4"/>
  <c r="B56" i="4"/>
  <c r="B51" i="4"/>
  <c r="B50" i="4"/>
  <c r="E48" i="4"/>
  <c r="E47" i="4"/>
  <c r="E46" i="4"/>
  <c r="D48" i="4"/>
  <c r="D47" i="4"/>
  <c r="D46" i="4"/>
  <c r="C48" i="4"/>
  <c r="C47" i="4"/>
  <c r="C46" i="4"/>
  <c r="B48" i="4"/>
  <c r="B47" i="4"/>
  <c r="B46" i="4"/>
  <c r="B41" i="4"/>
  <c r="B40" i="4"/>
  <c r="E38" i="4"/>
  <c r="E37" i="4"/>
  <c r="D38" i="4"/>
  <c r="D37" i="4"/>
  <c r="C38" i="4"/>
  <c r="C37" i="4"/>
  <c r="B38" i="4"/>
  <c r="B37" i="4"/>
  <c r="B32" i="4"/>
  <c r="B31" i="4"/>
  <c r="E29" i="4"/>
  <c r="E28" i="4"/>
  <c r="D29" i="4"/>
  <c r="D28" i="4"/>
  <c r="C29" i="4"/>
  <c r="C28" i="4"/>
  <c r="B29" i="4"/>
  <c r="B28" i="4"/>
  <c r="S4" i="2" a="1"/>
  <c r="S4" i="2" s="1"/>
  <c r="O4" i="2" a="1"/>
  <c r="O4" i="2" s="1"/>
  <c r="S4" i="1" a="1"/>
  <c r="S4" i="1" s="1"/>
  <c r="O4" i="1" a="1"/>
  <c r="O4" i="1" s="1"/>
  <c r="C23" i="4" l="1"/>
  <c r="D22" i="4"/>
  <c r="C22" i="4"/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E3" i="2"/>
  <c r="D3" i="2"/>
  <c r="D23" i="4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4" i="1"/>
  <c r="D5" i="1"/>
  <c r="D6" i="1"/>
  <c r="D7" i="1"/>
  <c r="D8" i="1"/>
  <c r="D9" i="1"/>
  <c r="D10" i="1"/>
  <c r="E3" i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<sst xmlns="http://schemas.openxmlformats.org/spreadsheetml/2006/main" count="280" uniqueCount="77">
  <si>
    <t>Date</t>
  </si>
  <si>
    <t>r_CN</t>
  </si>
  <si>
    <t>Dy_CN</t>
  </si>
  <si>
    <t>r_GB</t>
  </si>
  <si>
    <t>Dy_GB</t>
  </si>
  <si>
    <t>r_CN(-1)</t>
  </si>
  <si>
    <t>Dy_CN(-1)</t>
  </si>
  <si>
    <t>r_GB(-1)</t>
  </si>
  <si>
    <t>Dy_GB(-1)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</si>
  <si>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</si>
  <si>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</si>
  <si>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</si>
  <si>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</si>
  <si>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</si>
  <si>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</si>
  <si>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</si>
  <si>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</si>
  <si>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</si>
  <si>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</si>
  <si>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</si>
  <si>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</si>
  <si>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</si>
  <si>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China</t>
  </si>
  <si>
    <t>UK</t>
  </si>
  <si>
    <t>Correlation</t>
  </si>
  <si>
    <t>Observations (with lag)</t>
  </si>
  <si>
    <t>Frequency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</si>
  <si>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</si>
  <si>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</si>
  <si>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</si>
  <si>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</si>
  <si>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</si>
  <si>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</si>
  <si>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</si>
  <si>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</si>
  <si>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</si>
  <si>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</si>
  <si>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</si>
  <si>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</si>
  <si>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</si>
  <si>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</si>
  <si>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</si>
  <si>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</si>
  <si>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</si>
  <si>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</si>
  <si>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</si>
  <si>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</si>
  <si>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</si>
  <si>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</si>
  <si>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</si>
  <si>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= r_CN(-1)</t>
  </si>
  <si>
    <t>Y = Dy_CN</t>
  </si>
  <si>
    <t>X = r_GB(-1)</t>
  </si>
  <si>
    <t>Y = Dy_GB</t>
  </si>
  <si>
    <t>t-stat</t>
  </si>
  <si>
    <t>p-value</t>
  </si>
  <si>
    <t>R²</t>
  </si>
  <si>
    <t>Main Regression</t>
  </si>
  <si>
    <t>Robustness Analysis</t>
  </si>
  <si>
    <t>X1 = Dy_CN(-1)</t>
  </si>
  <si>
    <t>X1 = Dy_GB(-1)</t>
  </si>
  <si>
    <t>Statistics</t>
  </si>
  <si>
    <t>Table 1: Summary of Descriptive Statistics for China and the UK</t>
  </si>
  <si>
    <t>Table 2: Correlation between Lagged Stock Returns and GDP Growth</t>
  </si>
  <si>
    <t>Table 3: Regression of GDP Growth on Lagged Stock Returns - China</t>
  </si>
  <si>
    <t>Table 4: Regression of GDP Growth on Lagged Stock Returns - United Kingdom</t>
  </si>
  <si>
    <t>Table 5: Robustness Analysis - Regression with Lagged GDP Growth Included (China)</t>
  </si>
  <si>
    <t>Table 6: Robustness Analysis - Regression with Lagged GDP Grwowth Included (United Kingdom)</t>
  </si>
  <si>
    <t>Figure 2: Distribution of GDP Growth - China</t>
  </si>
  <si>
    <t>Figure 1: Distribution of Real Stock Returns - China</t>
  </si>
  <si>
    <t>Figure 3: Distribution of Real Stock Returns — United Kingdom</t>
  </si>
  <si>
    <t>Figure 4: Distribution of GDP Growth — United Kingdom</t>
  </si>
  <si>
    <t>Figure 6: Combined Distribution of GDP Growth - China &amp; United Kingdom</t>
  </si>
  <si>
    <t>Figure 5: Combined Distribution of Real Stock Returns - China &amp; United Kingdom</t>
  </si>
  <si>
    <t>Figure 7: Scatter Plot of GDP Growth vs. Lagged Stock Returns - China</t>
  </si>
  <si>
    <t>Figure 8: Scatter Plot of GDP Growth vs. Lagged Stock Returns - United Kingdom</t>
  </si>
  <si>
    <t>r_GB(-1)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</si>
</sst>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/>
    <xf numFmtId="0" fontId="4" fillId="0" borderId="3" xfId="0" applyFont="1" applyBorder="1" applyAlignment="1">
      <alignment horizontal="center"/>
    </xf>
    <xf numFmtId="0" fontId="0" fillId="0" borderId="4" xfId="0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Continuous"/>
    </xf>
    <xf numFmtId="0" fontId="1" fillId="2" borderId="4" xfId="0" applyFont="1" applyFill="1" applyBorder="1"/>
    <xf numFmtId="0" fontId="2" fillId="3" borderId="4" xfId="0" applyFont="1" applyFill="1" applyBorder="1"/>
    <xf numFmtId="0" fontId="3" fillId="2" borderId="4" xfId="0" applyFont="1" applyFill="1" applyBorder="1"/>
    <xf numFmtId="0" fontId="0" fillId="3" borderId="4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4" fontId="0" fillId="0" borderId="0" xfId="0" applyNumberFormat="1"/>
    <xf numFmtId="0" fontId="4" fillId="0" borderId="0" xfId="0" applyFont="1" applyAlignment="1">
      <alignment horizontal="centerContinuous"/>
    </xf>
    <xf numFmtId="0" fontId="2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5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UK - Real Stock</a:t>
            </a:r>
            <a:r>
              <a:rPr lang="en-US" baseline="0"/>
              <a:t> Returns (r)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UK!$O$3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UK!$N$4:$N$20</c:f>
              <c:numCache>
                <c:formatCode>General</c:formatCode>
                <c:ptCount val="17"/>
                <c:pt idx="0">
                  <c:v>-45</c:v>
                </c:pt>
                <c:pt idx="1">
                  <c:v>-40</c:v>
                </c:pt>
                <c:pt idx="2">
                  <c:v>-35</c:v>
                </c:pt>
                <c:pt idx="3">
                  <c:v>-30</c:v>
                </c:pt>
                <c:pt idx="4">
                  <c:v>-25</c:v>
                </c:pt>
                <c:pt idx="5">
                  <c:v>-20</c:v>
                </c:pt>
                <c:pt idx="6">
                  <c:v>-15</c:v>
                </c:pt>
                <c:pt idx="7">
                  <c:v>-10</c:v>
                </c:pt>
                <c:pt idx="8">
                  <c:v>-5</c:v>
                </c:pt>
                <c:pt idx="9">
                  <c:v>0</c:v>
                </c:pt>
                <c:pt idx="10">
                  <c:v>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25</c:v>
                </c:pt>
                <c:pt idx="15">
                  <c:v>30</c:v>
                </c:pt>
              </c:numCache>
            </c:numRef>
          </c:cat>
          <c:val>
            <c:numRef>
              <c:f>UK!$O$4:$O$20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5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4-4D54-BEDB-D58F3B5BC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919726095"/>
        <c:axId val="919727055"/>
      </c:barChart>
      <c:catAx>
        <c:axId val="919726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27055"/>
        <c:crosses val="autoZero"/>
        <c:auto val="1"/>
        <c:lblAlgn val="ctr"/>
        <c:lblOffset val="100"/>
        <c:noMultiLvlLbl val="0"/>
      </c:catAx>
      <c:valAx>
        <c:axId val="91972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2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UK - GDP Growth (Dy)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UK!$S$3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UK!$R$4:$R$17</c:f>
              <c:numCache>
                <c:formatCode>General</c:formatCode>
                <c:ptCount val="14"/>
                <c:pt idx="0">
                  <c:v>-15</c:v>
                </c:pt>
                <c:pt idx="1">
                  <c:v>-12.5</c:v>
                </c:pt>
                <c:pt idx="2">
                  <c:v>-10</c:v>
                </c:pt>
                <c:pt idx="3">
                  <c:v>-7.5</c:v>
                </c:pt>
                <c:pt idx="4">
                  <c:v>-5</c:v>
                </c:pt>
                <c:pt idx="5">
                  <c:v>-2.5</c:v>
                </c:pt>
                <c:pt idx="6">
                  <c:v>0</c:v>
                </c:pt>
                <c:pt idx="7">
                  <c:v>2.5</c:v>
                </c:pt>
                <c:pt idx="8">
                  <c:v>5</c:v>
                </c:pt>
                <c:pt idx="9">
                  <c:v>7.5</c:v>
                </c:pt>
                <c:pt idx="10">
                  <c:v>10</c:v>
                </c:pt>
                <c:pt idx="11">
                  <c:v>12.5</c:v>
                </c:pt>
                <c:pt idx="12">
                  <c:v>15</c:v>
                </c:pt>
              </c:numCache>
            </c:numRef>
          </c:cat>
          <c:val>
            <c:numRef>
              <c:f>UK!$S$4:$S$17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22</c:v>
                </c:pt>
                <c:pt idx="8">
                  <c:v>13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B-4C6F-A2CD-A235F53D7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88146319"/>
        <c:axId val="1588162159"/>
      </c:barChart>
      <c:catAx>
        <c:axId val="1588146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62159"/>
        <c:crosses val="autoZero"/>
        <c:auto val="1"/>
        <c:lblAlgn val="ctr"/>
        <c:lblOffset val="100"/>
        <c:noMultiLvlLbl val="0"/>
      </c:catAx>
      <c:valAx>
        <c:axId val="15881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4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Lagged Stock Returns and GDP Growth in the UK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UK!$D$1</c:f>
              <c:strCache>
                <c:ptCount val="1"/>
                <c:pt idx="0">
                  <c:v>r_GB(-1)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917235345581804"/>
                  <c:y val="-0.120748760571595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UK!$C$2:$C$42</c:f>
              <c:numCache>
                <c:formatCode>0.0000</c:formatCode>
                <c:ptCount val="41"/>
                <c:pt idx="0">
                  <c:v>2.4776165224510649</c:v>
                </c:pt>
                <c:pt idx="1">
                  <c:v>3.3091660890946173</c:v>
                </c:pt>
                <c:pt idx="2">
                  <c:v>3.7023160279424872</c:v>
                </c:pt>
                <c:pt idx="3">
                  <c:v>4.2484411304481995</c:v>
                </c:pt>
                <c:pt idx="4">
                  <c:v>4.6875209970314913</c:v>
                </c:pt>
                <c:pt idx="5">
                  <c:v>1.995499452812588</c:v>
                </c:pt>
                <c:pt idx="6">
                  <c:v>0.47731496953371533</c:v>
                </c:pt>
                <c:pt idx="7">
                  <c:v>-1.6101123502586745</c:v>
                </c:pt>
                <c:pt idx="8">
                  <c:v>1.0159873553126531</c:v>
                </c:pt>
                <c:pt idx="9">
                  <c:v>3.1912059371469681</c:v>
                </c:pt>
                <c:pt idx="10">
                  <c:v>4.5800495386902895</c:v>
                </c:pt>
                <c:pt idx="11">
                  <c:v>3.207851852242527</c:v>
                </c:pt>
                <c:pt idx="12">
                  <c:v>2.3266853133959486</c:v>
                </c:pt>
                <c:pt idx="13">
                  <c:v>4.5070980110612169</c:v>
                </c:pt>
                <c:pt idx="14">
                  <c:v>2.9033292631167384</c:v>
                </c:pt>
                <c:pt idx="15">
                  <c:v>2.5685362043290638</c:v>
                </c:pt>
                <c:pt idx="16">
                  <c:v>4.0677157924683627</c:v>
                </c:pt>
                <c:pt idx="17">
                  <c:v>1.9779090187833859</c:v>
                </c:pt>
                <c:pt idx="18">
                  <c:v>1.2712506957907266</c:v>
                </c:pt>
                <c:pt idx="19">
                  <c:v>2.7021659661853548</c:v>
                </c:pt>
                <c:pt idx="20">
                  <c:v>1.7304359110946521</c:v>
                </c:pt>
                <c:pt idx="21">
                  <c:v>2.0658142422290027</c:v>
                </c:pt>
                <c:pt idx="22">
                  <c:v>1.4311404383283488</c:v>
                </c:pt>
                <c:pt idx="23">
                  <c:v>2.110115232462384</c:v>
                </c:pt>
                <c:pt idx="24">
                  <c:v>-0.83645650664898596</c:v>
                </c:pt>
                <c:pt idx="25">
                  <c:v>-5.4523535240729615</c:v>
                </c:pt>
                <c:pt idx="26">
                  <c:v>1.4514842914740811</c:v>
                </c:pt>
                <c:pt idx="27">
                  <c:v>6.632689005421355E-2</c:v>
                </c:pt>
                <c:pt idx="28">
                  <c:v>0.80441751234783254</c:v>
                </c:pt>
                <c:pt idx="29">
                  <c:v>1.034333823882605</c:v>
                </c:pt>
                <c:pt idx="30">
                  <c:v>2.3641319871586575</c:v>
                </c:pt>
                <c:pt idx="31">
                  <c:v>1.396196621721657</c:v>
                </c:pt>
                <c:pt idx="32">
                  <c:v>1.3883091094882616</c:v>
                </c:pt>
                <c:pt idx="33">
                  <c:v>2.432717486573388</c:v>
                </c:pt>
                <c:pt idx="34">
                  <c:v>1.0509695178908984</c:v>
                </c:pt>
                <c:pt idx="35">
                  <c:v>0.73387665771047494</c:v>
                </c:pt>
                <c:pt idx="36">
                  <c:v>-10.758731306144043</c:v>
                </c:pt>
                <c:pt idx="37">
                  <c:v>7.8387872966315442</c:v>
                </c:pt>
                <c:pt idx="38">
                  <c:v>4.1001532045157774</c:v>
                </c:pt>
                <c:pt idx="39">
                  <c:v>-1.0336979766186971</c:v>
                </c:pt>
                <c:pt idx="40">
                  <c:v>5.4169325261455015E-2</c:v>
                </c:pt>
              </c:numCache>
            </c:numRef>
          </c:xVal>
          <c:yVal>
            <c:numRef>
              <c:f>UK!$D$2:$D$42</c:f>
              <c:numCache>
                <c:formatCode>0.0000</c:formatCode>
                <c:ptCount val="41"/>
                <c:pt idx="1">
                  <c:v>15.919407981614102</c:v>
                </c:pt>
                <c:pt idx="2">
                  <c:v>7.5916844992839048</c:v>
                </c:pt>
                <c:pt idx="3">
                  <c:v>13.849030606578776</c:v>
                </c:pt>
                <c:pt idx="4">
                  <c:v>-2.1616528644511943</c:v>
                </c:pt>
                <c:pt idx="5">
                  <c:v>0.4321375701685044</c:v>
                </c:pt>
                <c:pt idx="6">
                  <c:v>24.333416427976687</c:v>
                </c:pt>
                <c:pt idx="7">
                  <c:v>-20.312387651159778</c:v>
                </c:pt>
                <c:pt idx="8">
                  <c:v>7.6515733179970544</c:v>
                </c:pt>
                <c:pt idx="9">
                  <c:v>8.6647760399829927</c:v>
                </c:pt>
                <c:pt idx="10">
                  <c:v>15.74966562457073</c:v>
                </c:pt>
                <c:pt idx="11">
                  <c:v>-13.115204317749242</c:v>
                </c:pt>
                <c:pt idx="12">
                  <c:v>15.825109810868707</c:v>
                </c:pt>
                <c:pt idx="13">
                  <c:v>8.1534457599654662</c:v>
                </c:pt>
                <c:pt idx="14">
                  <c:v>19.867675887346877</c:v>
                </c:pt>
                <c:pt idx="15">
                  <c:v>11.761601505302139</c:v>
                </c:pt>
                <c:pt idx="16">
                  <c:v>14.636032375918759</c:v>
                </c:pt>
                <c:pt idx="17">
                  <c:v>-11.954647997565967</c:v>
                </c:pt>
                <c:pt idx="18">
                  <c:v>-19.149605776867851</c:v>
                </c:pt>
                <c:pt idx="19">
                  <c:v>-29.592097711353286</c:v>
                </c:pt>
                <c:pt idx="20">
                  <c:v>11.388359776980685</c:v>
                </c:pt>
                <c:pt idx="21">
                  <c:v>5.8755837366214418</c:v>
                </c:pt>
                <c:pt idx="22">
                  <c:v>13.363609741445979</c:v>
                </c:pt>
                <c:pt idx="23">
                  <c:v>7.7223781225381591</c:v>
                </c:pt>
                <c:pt idx="24">
                  <c:v>1.3385195534844021</c:v>
                </c:pt>
                <c:pt idx="25">
                  <c:v>-41.102296153196839</c:v>
                </c:pt>
                <c:pt idx="26">
                  <c:v>17.982353080194457</c:v>
                </c:pt>
                <c:pt idx="27">
                  <c:v>6.1234335405386702</c:v>
                </c:pt>
                <c:pt idx="28">
                  <c:v>-9.5698999925433217</c:v>
                </c:pt>
                <c:pt idx="29">
                  <c:v>3.1044441687515061</c:v>
                </c:pt>
                <c:pt idx="30">
                  <c:v>11.19099187503684</c:v>
                </c:pt>
                <c:pt idx="31">
                  <c:v>-4.2000356649830213</c:v>
                </c:pt>
                <c:pt idx="32">
                  <c:v>-5.4247086229496988</c:v>
                </c:pt>
                <c:pt idx="33">
                  <c:v>12.467297452992776</c:v>
                </c:pt>
                <c:pt idx="34">
                  <c:v>4.7944140345705426</c:v>
                </c:pt>
                <c:pt idx="35">
                  <c:v>-15.626190878227824</c:v>
                </c:pt>
                <c:pt idx="36">
                  <c:v>9.6867446369270152</c:v>
                </c:pt>
                <c:pt idx="37">
                  <c:v>-16.473079422408489</c:v>
                </c:pt>
                <c:pt idx="38">
                  <c:v>10.84951047484692</c:v>
                </c:pt>
                <c:pt idx="39">
                  <c:v>-7.0161551767405212</c:v>
                </c:pt>
                <c:pt idx="40">
                  <c:v>-3.0859311881836193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4C-4F59-8BCE-39E8AB099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727679"/>
        <c:axId val="1586723839"/>
      </c:scatterChart>
      <c:valAx>
        <c:axId val="158672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Previous year real</a:t>
                </a:r>
                <a:r>
                  <a:rPr lang="en-US" baseline="0"/>
                  <a:t> stock returns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723839"/>
        <c:crosses val="autoZero"/>
        <c:crossBetween val="midCat"/>
      </c:valAx>
      <c:valAx>
        <c:axId val="158672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 Growth (%)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52407407407407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72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UK!$F$1</c:f>
              <c:strCache>
                <c:ptCount val="1"/>
                <c:pt idx="0">
                  <c:v>r_GB(-1) #2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UK!$F$2:$F$42</c:f>
              <c:numCache>
                <c:formatCode>0.0000</c:formatCode>
                <c:ptCount val="41"/>
                <c:pt idx="1">
                  <c:v>15.919407981614102</c:v>
                </c:pt>
                <c:pt idx="2">
                  <c:v>7.5916844992839048</c:v>
                </c:pt>
                <c:pt idx="3">
                  <c:v>13.849030606578776</c:v>
                </c:pt>
                <c:pt idx="4">
                  <c:v>-2.1616528644511943</c:v>
                </c:pt>
                <c:pt idx="5">
                  <c:v>0.4321375701685044</c:v>
                </c:pt>
                <c:pt idx="6">
                  <c:v>24.333416427976687</c:v>
                </c:pt>
                <c:pt idx="7">
                  <c:v>-20.312387651159778</c:v>
                </c:pt>
                <c:pt idx="8">
                  <c:v>7.6515733179970544</c:v>
                </c:pt>
                <c:pt idx="9">
                  <c:v>8.6647760399829927</c:v>
                </c:pt>
                <c:pt idx="10">
                  <c:v>15.74966562457073</c:v>
                </c:pt>
                <c:pt idx="11">
                  <c:v>-13.115204317749242</c:v>
                </c:pt>
                <c:pt idx="12">
                  <c:v>15.825109810868707</c:v>
                </c:pt>
                <c:pt idx="13">
                  <c:v>8.1534457599654662</c:v>
                </c:pt>
                <c:pt idx="14">
                  <c:v>19.867675887346877</c:v>
                </c:pt>
                <c:pt idx="15">
                  <c:v>11.761601505302139</c:v>
                </c:pt>
                <c:pt idx="16">
                  <c:v>14.636032375918759</c:v>
                </c:pt>
                <c:pt idx="17">
                  <c:v>-11.954647997565967</c:v>
                </c:pt>
                <c:pt idx="18">
                  <c:v>-19.149605776867851</c:v>
                </c:pt>
                <c:pt idx="19">
                  <c:v>-29.592097711353286</c:v>
                </c:pt>
                <c:pt idx="20">
                  <c:v>11.388359776980685</c:v>
                </c:pt>
                <c:pt idx="21">
                  <c:v>5.8755837366214418</c:v>
                </c:pt>
                <c:pt idx="22">
                  <c:v>13.363609741445979</c:v>
                </c:pt>
                <c:pt idx="23">
                  <c:v>7.7223781225381591</c:v>
                </c:pt>
                <c:pt idx="24">
                  <c:v>1.3385195534844021</c:v>
                </c:pt>
                <c:pt idx="25">
                  <c:v>-41.102296153196839</c:v>
                </c:pt>
                <c:pt idx="26">
                  <c:v>17.982353080194457</c:v>
                </c:pt>
                <c:pt idx="27">
                  <c:v>6.1234335405386702</c:v>
                </c:pt>
                <c:pt idx="28">
                  <c:v>-9.5698999925433217</c:v>
                </c:pt>
                <c:pt idx="29">
                  <c:v>3.1044441687515061</c:v>
                </c:pt>
                <c:pt idx="30">
                  <c:v>11.19099187503684</c:v>
                </c:pt>
                <c:pt idx="31">
                  <c:v>-4.2000356649830213</c:v>
                </c:pt>
                <c:pt idx="32">
                  <c:v>-5.4247086229496988</c:v>
                </c:pt>
                <c:pt idx="33">
                  <c:v>12.467297452992776</c:v>
                </c:pt>
                <c:pt idx="34">
                  <c:v>4.7944140345705426</c:v>
                </c:pt>
                <c:pt idx="35">
                  <c:v>-15.626190878227824</c:v>
                </c:pt>
                <c:pt idx="36">
                  <c:v>9.6867446369270152</c:v>
                </c:pt>
                <c:pt idx="37">
                  <c:v>-16.473079422408489</c:v>
                </c:pt>
                <c:pt idx="38">
                  <c:v>10.84951047484692</c:v>
                </c:pt>
                <c:pt idx="39">
                  <c:v>-7.0161551767405212</c:v>
                </c:pt>
                <c:pt idx="40">
                  <c:v>-3.0859311881836193</c:v>
                </c:pt>
              </c:numCache>
            </c:numRef>
          </c:xVal>
          <c:yVal>
            <c:numRef>
              <c:f>UK!$C$2:$C$42</c:f>
              <c:numCache>
                <c:formatCode>0.0000</c:formatCode>
                <c:ptCount val="41"/>
                <c:pt idx="0">
                  <c:v>2.4776165224510649</c:v>
                </c:pt>
                <c:pt idx="1">
                  <c:v>3.3091660890946173</c:v>
                </c:pt>
                <c:pt idx="2">
                  <c:v>3.7023160279424872</c:v>
                </c:pt>
                <c:pt idx="3">
                  <c:v>4.2484411304481995</c:v>
                </c:pt>
                <c:pt idx="4">
                  <c:v>4.6875209970314913</c:v>
                </c:pt>
                <c:pt idx="5">
                  <c:v>1.995499452812588</c:v>
                </c:pt>
                <c:pt idx="6">
                  <c:v>0.47731496953371533</c:v>
                </c:pt>
                <c:pt idx="7">
                  <c:v>-1.6101123502586745</c:v>
                </c:pt>
                <c:pt idx="8">
                  <c:v>1.0159873553126531</c:v>
                </c:pt>
                <c:pt idx="9">
                  <c:v>3.1912059371469681</c:v>
                </c:pt>
                <c:pt idx="10">
                  <c:v>4.5800495386902895</c:v>
                </c:pt>
                <c:pt idx="11">
                  <c:v>3.207851852242527</c:v>
                </c:pt>
                <c:pt idx="12">
                  <c:v>2.3266853133959486</c:v>
                </c:pt>
                <c:pt idx="13">
                  <c:v>4.5070980110612169</c:v>
                </c:pt>
                <c:pt idx="14">
                  <c:v>2.9033292631167384</c:v>
                </c:pt>
                <c:pt idx="15">
                  <c:v>2.5685362043290638</c:v>
                </c:pt>
                <c:pt idx="16">
                  <c:v>4.0677157924683627</c:v>
                </c:pt>
                <c:pt idx="17">
                  <c:v>1.9779090187833859</c:v>
                </c:pt>
                <c:pt idx="18">
                  <c:v>1.2712506957907266</c:v>
                </c:pt>
                <c:pt idx="19">
                  <c:v>2.7021659661853548</c:v>
                </c:pt>
                <c:pt idx="20">
                  <c:v>1.7304359110946521</c:v>
                </c:pt>
                <c:pt idx="21">
                  <c:v>2.0658142422290027</c:v>
                </c:pt>
                <c:pt idx="22">
                  <c:v>1.4311404383283488</c:v>
                </c:pt>
                <c:pt idx="23">
                  <c:v>2.110115232462384</c:v>
                </c:pt>
                <c:pt idx="24">
                  <c:v>-0.83645650664898596</c:v>
                </c:pt>
                <c:pt idx="25">
                  <c:v>-5.4523535240729615</c:v>
                </c:pt>
                <c:pt idx="26">
                  <c:v>1.4514842914740811</c:v>
                </c:pt>
                <c:pt idx="27">
                  <c:v>6.632689005421355E-2</c:v>
                </c:pt>
                <c:pt idx="28">
                  <c:v>0.80441751234783254</c:v>
                </c:pt>
                <c:pt idx="29">
                  <c:v>1.034333823882605</c:v>
                </c:pt>
                <c:pt idx="30">
                  <c:v>2.3641319871586575</c:v>
                </c:pt>
                <c:pt idx="31">
                  <c:v>1.396196621721657</c:v>
                </c:pt>
                <c:pt idx="32">
                  <c:v>1.3883091094882616</c:v>
                </c:pt>
                <c:pt idx="33">
                  <c:v>2.432717486573388</c:v>
                </c:pt>
                <c:pt idx="34">
                  <c:v>1.0509695178908984</c:v>
                </c:pt>
                <c:pt idx="35">
                  <c:v>0.73387665771047494</c:v>
                </c:pt>
                <c:pt idx="36">
                  <c:v>-10.758731306144043</c:v>
                </c:pt>
                <c:pt idx="37">
                  <c:v>7.8387872966315442</c:v>
                </c:pt>
                <c:pt idx="38">
                  <c:v>4.1001532045157774</c:v>
                </c:pt>
                <c:pt idx="39">
                  <c:v>-1.0336979766186971</c:v>
                </c:pt>
                <c:pt idx="40">
                  <c:v>5.4169325261455015E-2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BD-459D-AB72-A3E953E55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781711"/>
        <c:axId val="2110783631"/>
      </c:scatterChart>
      <c:valAx>
        <c:axId val="211078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83631"/>
        <c:crosses val="autoZero"/>
        <c:crossBetween val="midCat"/>
      </c:valAx>
      <c:valAx>
        <c:axId val="211078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8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China - Real Stock</a:t>
            </a:r>
            <a:r>
              <a:rPr lang="en-US" baseline="0"/>
              <a:t> Returns (r)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China!$O$3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China!$N$4:$N$17</c:f>
              <c:numCache>
                <c:formatCode>General</c:formatCode>
                <c:ptCount val="14"/>
                <c:pt idx="0">
                  <c:v>-120</c:v>
                </c:pt>
                <c:pt idx="1">
                  <c:v>-100</c:v>
                </c:pt>
                <c:pt idx="2">
                  <c:v>-80</c:v>
                </c:pt>
                <c:pt idx="3">
                  <c:v>-60</c:v>
                </c:pt>
                <c:pt idx="4">
                  <c:v>-40</c:v>
                </c:pt>
                <c:pt idx="5">
                  <c:v>-20</c:v>
                </c:pt>
                <c:pt idx="6">
                  <c:v>0</c:v>
                </c:pt>
                <c:pt idx="7">
                  <c:v>20</c:v>
                </c:pt>
                <c:pt idx="8">
                  <c:v>40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</c:numCache>
            </c:numRef>
          </c:cat>
          <c:val>
            <c:numRef>
              <c:f>China!$O$4:$O$17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9</c:v>
                </c:pt>
                <c:pt idx="7">
                  <c:v>9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7-479E-9482-B18A6895A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88159279"/>
        <c:axId val="1588151599"/>
      </c:barChart>
      <c:catAx>
        <c:axId val="1588159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51599"/>
        <c:crosses val="autoZero"/>
        <c:auto val="1"/>
        <c:lblAlgn val="ctr"/>
        <c:lblOffset val="100"/>
        <c:noMultiLvlLbl val="0"/>
      </c:catAx>
      <c:valAx>
        <c:axId val="15881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5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China - GDP</a:t>
            </a:r>
            <a:r>
              <a:rPr lang="en-US" baseline="0"/>
              <a:t> Growth (Dy)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China!$S$3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China!$R$4:$R$13</c:f>
              <c:numCache>
                <c:formatCode>General</c:formatCode>
                <c:ptCount val="10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</c:numCache>
            </c:numRef>
          </c:cat>
          <c:val>
            <c:numRef>
              <c:f>China!$S$4:$S$13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13</c:v>
                </c:pt>
                <c:pt idx="4">
                  <c:v>12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8-41CB-BCF2-3658F8223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408351376"/>
        <c:axId val="408366848"/>
      </c:barChart>
      <c:catAx>
        <c:axId val="408351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366848"/>
        <c:crosses val="autoZero"/>
        <c:auto val="1"/>
        <c:lblAlgn val="ctr"/>
        <c:lblOffset val="100"/>
        <c:noMultiLvlLbl val="0"/>
      </c:catAx>
      <c:valAx>
        <c:axId val="40836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35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Lagged Stock Returns and GDP Growth in China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China!$D$1</c:f>
              <c:strCache>
                <c:ptCount val="1"/>
                <c:pt idx="0">
                  <c:v>r_CN(-1)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073928258967623E-2"/>
                  <c:y val="-0.248607465733449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China!$C$2:$C$35</c:f>
              <c:numCache>
                <c:formatCode>0.0000</c:formatCode>
                <c:ptCount val="34"/>
                <c:pt idx="0">
                  <c:v>7.5846230668753734</c:v>
                </c:pt>
                <c:pt idx="1">
                  <c:v>12.139761827848261</c:v>
                </c:pt>
                <c:pt idx="2">
                  <c:v>11.890975181847185</c:v>
                </c:pt>
                <c:pt idx="3">
                  <c:v>11.155826340317621</c:v>
                </c:pt>
                <c:pt idx="4">
                  <c:v>9.3790485144275237</c:v>
                </c:pt>
                <c:pt idx="5">
                  <c:v>8.4612376894180663</c:v>
                </c:pt>
                <c:pt idx="6">
                  <c:v>7.8578679034004395</c:v>
                </c:pt>
                <c:pt idx="7">
                  <c:v>6.6631861326085229</c:v>
                </c:pt>
                <c:pt idx="8">
                  <c:v>6.5864400520244892</c:v>
                </c:pt>
                <c:pt idx="9">
                  <c:v>7.449671240037592</c:v>
                </c:pt>
                <c:pt idx="10">
                  <c:v>7.2587857240463016</c:v>
                </c:pt>
                <c:pt idx="11">
                  <c:v>8.170817694717325</c:v>
                </c:pt>
                <c:pt idx="12">
                  <c:v>9.015547418381864</c:v>
                </c:pt>
                <c:pt idx="13">
                  <c:v>9.056475106341022</c:v>
                </c:pt>
                <c:pt idx="14">
                  <c:v>10.259854185387773</c:v>
                </c:pt>
                <c:pt idx="15">
                  <c:v>11.375075597772977</c:v>
                </c:pt>
                <c:pt idx="16">
                  <c:v>12.712034125161864</c:v>
                </c:pt>
                <c:pt idx="17">
                  <c:v>8.71840435188318</c:v>
                </c:pt>
                <c:pt idx="18">
                  <c:v>8.4891567271283108</c:v>
                </c:pt>
                <c:pt idx="19">
                  <c:v>9.5886598377340704</c:v>
                </c:pt>
                <c:pt idx="20">
                  <c:v>8.4936628044561147</c:v>
                </c:pt>
                <c:pt idx="21">
                  <c:v>6.8844979303836595</c:v>
                </c:pt>
                <c:pt idx="22">
                  <c:v>6.8249358615615208</c:v>
                </c:pt>
                <c:pt idx="23">
                  <c:v>6.5662918885362132</c:v>
                </c:pt>
                <c:pt idx="24">
                  <c:v>6.164574983107407</c:v>
                </c:pt>
                <c:pt idx="25">
                  <c:v>5.9828325396134474</c:v>
                </c:pt>
                <c:pt idx="26">
                  <c:v>6.0589479432271887</c:v>
                </c:pt>
                <c:pt idx="27">
                  <c:v>6.0705675705818862</c:v>
                </c:pt>
                <c:pt idx="28">
                  <c:v>5.5367539083539086</c:v>
                </c:pt>
                <c:pt idx="29">
                  <c:v>2.0751849908078768</c:v>
                </c:pt>
                <c:pt idx="30">
                  <c:v>8.1333202372697144</c:v>
                </c:pt>
                <c:pt idx="31">
                  <c:v>3.099175392365261</c:v>
                </c:pt>
                <c:pt idx="32">
                  <c:v>5.3771213802397355</c:v>
                </c:pt>
                <c:pt idx="33">
                  <c:v>4.9805123479865543</c:v>
                </c:pt>
              </c:numCache>
            </c:numRef>
          </c:xVal>
          <c:yVal>
            <c:numRef>
              <c:f>China!$D$2:$D$35</c:f>
              <c:numCache>
                <c:formatCode>0.0000</c:formatCode>
                <c:ptCount val="34"/>
                <c:pt idx="1">
                  <c:v>79.477340820989653</c:v>
                </c:pt>
                <c:pt idx="2">
                  <c:v>91.693497884497546</c:v>
                </c:pt>
                <c:pt idx="3">
                  <c:v>-7.9901015635194295</c:v>
                </c:pt>
                <c:pt idx="4">
                  <c:v>-49.487340374807246</c:v>
                </c:pt>
                <c:pt idx="5">
                  <c:v>-32.211181079130085</c:v>
                </c:pt>
                <c:pt idx="6">
                  <c:v>41.850499859855965</c:v>
                </c:pt>
                <c:pt idx="7">
                  <c:v>23.61562906965996</c:v>
                </c:pt>
                <c:pt idx="8">
                  <c:v>-3.2772651379586319</c:v>
                </c:pt>
                <c:pt idx="9">
                  <c:v>18.943774316273743</c:v>
                </c:pt>
                <c:pt idx="10">
                  <c:v>41.343752762099975</c:v>
                </c:pt>
                <c:pt idx="11">
                  <c:v>-23.808768074740421</c:v>
                </c:pt>
                <c:pt idx="12">
                  <c:v>-18.525256438489322</c:v>
                </c:pt>
                <c:pt idx="13">
                  <c:v>8.6458252027896698</c:v>
                </c:pt>
                <c:pt idx="14">
                  <c:v>-20.548483928963424</c:v>
                </c:pt>
                <c:pt idx="15">
                  <c:v>-10.468737579321903</c:v>
                </c:pt>
                <c:pt idx="16">
                  <c:v>81.830145384882286</c:v>
                </c:pt>
                <c:pt idx="17">
                  <c:v>62.813389324865064</c:v>
                </c:pt>
                <c:pt idx="18">
                  <c:v>-112.04019336110933</c:v>
                </c:pt>
                <c:pt idx="19">
                  <c:v>59.497372717931349</c:v>
                </c:pt>
                <c:pt idx="20">
                  <c:v>-18.622412574868353</c:v>
                </c:pt>
                <c:pt idx="21">
                  <c:v>-29.984657142020289</c:v>
                </c:pt>
                <c:pt idx="22">
                  <c:v>0.50080482129854298</c:v>
                </c:pt>
                <c:pt idx="23">
                  <c:v>-9.6088999931338428</c:v>
                </c:pt>
                <c:pt idx="24">
                  <c:v>40.519585343188098</c:v>
                </c:pt>
                <c:pt idx="25">
                  <c:v>7.5596002226895358</c:v>
                </c:pt>
                <c:pt idx="26">
                  <c:v>-15.132099561098546</c:v>
                </c:pt>
                <c:pt idx="27">
                  <c:v>4.7587433920011719</c:v>
                </c:pt>
                <c:pt idx="28">
                  <c:v>-30.299520122151417</c:v>
                </c:pt>
                <c:pt idx="29">
                  <c:v>17.234375758659997</c:v>
                </c:pt>
                <c:pt idx="30">
                  <c:v>10.566217663786784</c:v>
                </c:pt>
                <c:pt idx="31">
                  <c:v>3.707307408162575</c:v>
                </c:pt>
                <c:pt idx="32">
                  <c:v>-18.372668950110565</c:v>
                </c:pt>
                <c:pt idx="33">
                  <c:v>-4.0057110893642749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9A-4909-B596-023746808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040800"/>
        <c:axId val="502040320"/>
      </c:scatterChart>
      <c:valAx>
        <c:axId val="50204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Previous</a:t>
                </a:r>
                <a:r>
                  <a:rPr lang="en-US" baseline="0"/>
                  <a:t> year real stock returns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40320"/>
        <c:crosses val="autoZero"/>
        <c:crossBetween val="midCat"/>
      </c:valAx>
      <c:valAx>
        <c:axId val="5020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 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4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China!$D$1</c:f>
              <c:strCache>
                <c:ptCount val="1"/>
                <c:pt idx="0">
                  <c:v>r_CN(-1)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China!$C$2:$C$35</c:f>
              <c:numCache>
                <c:formatCode>0.0000</c:formatCode>
                <c:ptCount val="34"/>
                <c:pt idx="0">
                  <c:v>7.5846230668753734</c:v>
                </c:pt>
                <c:pt idx="1">
                  <c:v>12.139761827848261</c:v>
                </c:pt>
                <c:pt idx="2">
                  <c:v>11.890975181847185</c:v>
                </c:pt>
                <c:pt idx="3">
                  <c:v>11.155826340317621</c:v>
                </c:pt>
                <c:pt idx="4">
                  <c:v>9.3790485144275237</c:v>
                </c:pt>
                <c:pt idx="5">
                  <c:v>8.4612376894180663</c:v>
                </c:pt>
                <c:pt idx="6">
                  <c:v>7.8578679034004395</c:v>
                </c:pt>
                <c:pt idx="7">
                  <c:v>6.6631861326085229</c:v>
                </c:pt>
                <c:pt idx="8">
                  <c:v>6.5864400520244892</c:v>
                </c:pt>
                <c:pt idx="9">
                  <c:v>7.449671240037592</c:v>
                </c:pt>
                <c:pt idx="10">
                  <c:v>7.2587857240463016</c:v>
                </c:pt>
                <c:pt idx="11">
                  <c:v>8.170817694717325</c:v>
                </c:pt>
                <c:pt idx="12">
                  <c:v>9.015547418381864</c:v>
                </c:pt>
                <c:pt idx="13">
                  <c:v>9.056475106341022</c:v>
                </c:pt>
                <c:pt idx="14">
                  <c:v>10.259854185387773</c:v>
                </c:pt>
                <c:pt idx="15">
                  <c:v>11.375075597772977</c:v>
                </c:pt>
                <c:pt idx="16">
                  <c:v>12.712034125161864</c:v>
                </c:pt>
                <c:pt idx="17">
                  <c:v>8.71840435188318</c:v>
                </c:pt>
                <c:pt idx="18">
                  <c:v>8.4891567271283108</c:v>
                </c:pt>
                <c:pt idx="19">
                  <c:v>9.5886598377340704</c:v>
                </c:pt>
                <c:pt idx="20">
                  <c:v>8.4936628044561147</c:v>
                </c:pt>
                <c:pt idx="21">
                  <c:v>6.8844979303836595</c:v>
                </c:pt>
                <c:pt idx="22">
                  <c:v>6.8249358615615208</c:v>
                </c:pt>
                <c:pt idx="23">
                  <c:v>6.5662918885362132</c:v>
                </c:pt>
                <c:pt idx="24">
                  <c:v>6.164574983107407</c:v>
                </c:pt>
                <c:pt idx="25">
                  <c:v>5.9828325396134474</c:v>
                </c:pt>
                <c:pt idx="26">
                  <c:v>6.0589479432271887</c:v>
                </c:pt>
                <c:pt idx="27">
                  <c:v>6.0705675705818862</c:v>
                </c:pt>
                <c:pt idx="28">
                  <c:v>5.5367539083539086</c:v>
                </c:pt>
                <c:pt idx="29">
                  <c:v>2.0751849908078768</c:v>
                </c:pt>
                <c:pt idx="30">
                  <c:v>8.1333202372697144</c:v>
                </c:pt>
                <c:pt idx="31">
                  <c:v>3.099175392365261</c:v>
                </c:pt>
                <c:pt idx="32">
                  <c:v>5.3771213802397355</c:v>
                </c:pt>
                <c:pt idx="33">
                  <c:v>4.9805123479865543</c:v>
                </c:pt>
              </c:numCache>
            </c:numRef>
          </c:xVal>
          <c:yVal>
            <c:numRef>
              <c:f>China!$D$2:$D$35</c:f>
              <c:numCache>
                <c:formatCode>0.0000</c:formatCode>
                <c:ptCount val="34"/>
                <c:pt idx="1">
                  <c:v>79.477340820989653</c:v>
                </c:pt>
                <c:pt idx="2">
                  <c:v>91.693497884497546</c:v>
                </c:pt>
                <c:pt idx="3">
                  <c:v>-7.9901015635194295</c:v>
                </c:pt>
                <c:pt idx="4">
                  <c:v>-49.487340374807246</c:v>
                </c:pt>
                <c:pt idx="5">
                  <c:v>-32.211181079130085</c:v>
                </c:pt>
                <c:pt idx="6">
                  <c:v>41.850499859855965</c:v>
                </c:pt>
                <c:pt idx="7">
                  <c:v>23.61562906965996</c:v>
                </c:pt>
                <c:pt idx="8">
                  <c:v>-3.2772651379586319</c:v>
                </c:pt>
                <c:pt idx="9">
                  <c:v>18.943774316273743</c:v>
                </c:pt>
                <c:pt idx="10">
                  <c:v>41.343752762099975</c:v>
                </c:pt>
                <c:pt idx="11">
                  <c:v>-23.808768074740421</c:v>
                </c:pt>
                <c:pt idx="12">
                  <c:v>-18.525256438489322</c:v>
                </c:pt>
                <c:pt idx="13">
                  <c:v>8.6458252027896698</c:v>
                </c:pt>
                <c:pt idx="14">
                  <c:v>-20.548483928963424</c:v>
                </c:pt>
                <c:pt idx="15">
                  <c:v>-10.468737579321903</c:v>
                </c:pt>
                <c:pt idx="16">
                  <c:v>81.830145384882286</c:v>
                </c:pt>
                <c:pt idx="17">
                  <c:v>62.813389324865064</c:v>
                </c:pt>
                <c:pt idx="18">
                  <c:v>-112.04019336110933</c:v>
                </c:pt>
                <c:pt idx="19">
                  <c:v>59.497372717931349</c:v>
                </c:pt>
                <c:pt idx="20">
                  <c:v>-18.622412574868353</c:v>
                </c:pt>
                <c:pt idx="21">
                  <c:v>-29.984657142020289</c:v>
                </c:pt>
                <c:pt idx="22">
                  <c:v>0.50080482129854298</c:v>
                </c:pt>
                <c:pt idx="23">
                  <c:v>-9.6088999931338428</c:v>
                </c:pt>
                <c:pt idx="24">
                  <c:v>40.519585343188098</c:v>
                </c:pt>
                <c:pt idx="25">
                  <c:v>7.5596002226895358</c:v>
                </c:pt>
                <c:pt idx="26">
                  <c:v>-15.132099561098546</c:v>
                </c:pt>
                <c:pt idx="27">
                  <c:v>4.7587433920011719</c:v>
                </c:pt>
                <c:pt idx="28">
                  <c:v>-30.299520122151417</c:v>
                </c:pt>
                <c:pt idx="29">
                  <c:v>17.234375758659997</c:v>
                </c:pt>
                <c:pt idx="30">
                  <c:v>10.566217663786784</c:v>
                </c:pt>
                <c:pt idx="31">
                  <c:v>3.707307408162575</c:v>
                </c:pt>
                <c:pt idx="32">
                  <c:v>-18.372668950110565</c:v>
                </c:pt>
                <c:pt idx="33">
                  <c:v>-4.0057110893642749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B-4D4F-B206-529465DB0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935263"/>
        <c:axId val="223935743"/>
      </c:scatterChart>
      <c:valAx>
        <c:axId val="22393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35743"/>
        <c:crosses val="autoZero"/>
        <c:crossBetween val="midCat"/>
      </c:valAx>
      <c:valAx>
        <c:axId val="2239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35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UK - Real Stock</a:t>
            </a:r>
            <a:r>
              <a:rPr lang="en-US" baseline="0"/>
              <a:t> Returns (r)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UK!$O$3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UK!$N$4:$N$20</c:f>
              <c:numCache>
                <c:formatCode>General</c:formatCode>
                <c:ptCount val="17"/>
                <c:pt idx="0">
                  <c:v>-45</c:v>
                </c:pt>
                <c:pt idx="1">
                  <c:v>-40</c:v>
                </c:pt>
                <c:pt idx="2">
                  <c:v>-35</c:v>
                </c:pt>
                <c:pt idx="3">
                  <c:v>-30</c:v>
                </c:pt>
                <c:pt idx="4">
                  <c:v>-25</c:v>
                </c:pt>
                <c:pt idx="5">
                  <c:v>-20</c:v>
                </c:pt>
                <c:pt idx="6">
                  <c:v>-15</c:v>
                </c:pt>
                <c:pt idx="7">
                  <c:v>-10</c:v>
                </c:pt>
                <c:pt idx="8">
                  <c:v>-5</c:v>
                </c:pt>
                <c:pt idx="9">
                  <c:v>0</c:v>
                </c:pt>
                <c:pt idx="10">
                  <c:v>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25</c:v>
                </c:pt>
                <c:pt idx="15">
                  <c:v>30</c:v>
                </c:pt>
              </c:numCache>
            </c:numRef>
          </c:cat>
          <c:val>
            <c:numRef>
              <c:f>UK!$O$4:$O$20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5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7-4178-BC19-6C0D594D3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919726095"/>
        <c:axId val="919727055"/>
      </c:barChart>
      <c:catAx>
        <c:axId val="919726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27055"/>
        <c:crosses val="autoZero"/>
        <c:auto val="1"/>
        <c:lblAlgn val="ctr"/>
        <c:lblOffset val="100"/>
        <c:noMultiLvlLbl val="0"/>
      </c:catAx>
      <c:valAx>
        <c:axId val="91972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2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UK - GDP Growth (Dy)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UK!$S$3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UK!$R$4:$R$17</c:f>
              <c:numCache>
                <c:formatCode>General</c:formatCode>
                <c:ptCount val="14"/>
                <c:pt idx="0">
                  <c:v>-15</c:v>
                </c:pt>
                <c:pt idx="1">
                  <c:v>-12.5</c:v>
                </c:pt>
                <c:pt idx="2">
                  <c:v>-10</c:v>
                </c:pt>
                <c:pt idx="3">
                  <c:v>-7.5</c:v>
                </c:pt>
                <c:pt idx="4">
                  <c:v>-5</c:v>
                </c:pt>
                <c:pt idx="5">
                  <c:v>-2.5</c:v>
                </c:pt>
                <c:pt idx="6">
                  <c:v>0</c:v>
                </c:pt>
                <c:pt idx="7">
                  <c:v>2.5</c:v>
                </c:pt>
                <c:pt idx="8">
                  <c:v>5</c:v>
                </c:pt>
                <c:pt idx="9">
                  <c:v>7.5</c:v>
                </c:pt>
                <c:pt idx="10">
                  <c:v>10</c:v>
                </c:pt>
                <c:pt idx="11">
                  <c:v>12.5</c:v>
                </c:pt>
                <c:pt idx="12">
                  <c:v>15</c:v>
                </c:pt>
              </c:numCache>
            </c:numRef>
          </c:cat>
          <c:val>
            <c:numRef>
              <c:f>UK!$S$4:$S$17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22</c:v>
                </c:pt>
                <c:pt idx="8">
                  <c:v>13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E-4597-8828-FF4A51C17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88146319"/>
        <c:axId val="1588162159"/>
      </c:barChart>
      <c:catAx>
        <c:axId val="1588146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62159"/>
        <c:crosses val="autoZero"/>
        <c:auto val="1"/>
        <c:lblAlgn val="ctr"/>
        <c:lblOffset val="100"/>
        <c:noMultiLvlLbl val="0"/>
      </c:catAx>
      <c:valAx>
        <c:axId val="15881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4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China - Real Stock</a:t>
            </a:r>
            <a:r>
              <a:rPr lang="en-US" baseline="0"/>
              <a:t> Returns (r)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China!$O$3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China!$N$4:$N$17</c:f>
              <c:numCache>
                <c:formatCode>General</c:formatCode>
                <c:ptCount val="14"/>
                <c:pt idx="0">
                  <c:v>-120</c:v>
                </c:pt>
                <c:pt idx="1">
                  <c:v>-100</c:v>
                </c:pt>
                <c:pt idx="2">
                  <c:v>-80</c:v>
                </c:pt>
                <c:pt idx="3">
                  <c:v>-60</c:v>
                </c:pt>
                <c:pt idx="4">
                  <c:v>-40</c:v>
                </c:pt>
                <c:pt idx="5">
                  <c:v>-20</c:v>
                </c:pt>
                <c:pt idx="6">
                  <c:v>0</c:v>
                </c:pt>
                <c:pt idx="7">
                  <c:v>20</c:v>
                </c:pt>
                <c:pt idx="8">
                  <c:v>40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</c:numCache>
            </c:numRef>
          </c:cat>
          <c:val>
            <c:numRef>
              <c:f>China!$O$4:$O$17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9</c:v>
                </c:pt>
                <c:pt idx="7">
                  <c:v>9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4-4DC6-A9F7-974BF7C68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88159279"/>
        <c:axId val="1588151599"/>
      </c:barChart>
      <c:catAx>
        <c:axId val="1588159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51599"/>
        <c:crosses val="autoZero"/>
        <c:auto val="1"/>
        <c:lblAlgn val="ctr"/>
        <c:lblOffset val="100"/>
        <c:noMultiLvlLbl val="0"/>
      </c:catAx>
      <c:valAx>
        <c:axId val="15881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5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China - GDP</a:t>
            </a:r>
            <a:r>
              <a:rPr lang="en-US" baseline="0"/>
              <a:t> Growth (Dy)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China!$S$3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China!$R$4:$R$13</c:f>
              <c:numCache>
                <c:formatCode>General</c:formatCode>
                <c:ptCount val="10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</c:numCache>
            </c:numRef>
          </c:cat>
          <c:val>
            <c:numRef>
              <c:f>China!$S$4:$S$13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13</c:v>
                </c:pt>
                <c:pt idx="4">
                  <c:v>12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9-4207-B794-B44BD5E83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408351376"/>
        <c:axId val="408366848"/>
      </c:barChart>
      <c:catAx>
        <c:axId val="408351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366848"/>
        <c:crosses val="autoZero"/>
        <c:auto val="1"/>
        <c:lblAlgn val="ctr"/>
        <c:lblOffset val="100"/>
        <c:noMultiLvlLbl val="0"/>
      </c:catAx>
      <c:valAx>
        <c:axId val="40836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35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Lagged Stock Returns and GDP Growth in China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China!$D$1</c:f>
              <c:strCache>
                <c:ptCount val="1"/>
                <c:pt idx="0">
                  <c:v>r_CN(-1)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073928258967623E-2"/>
                  <c:y val="-0.248607465733449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China!$C$2:$C$35</c:f>
              <c:numCache>
                <c:formatCode>0.0000</c:formatCode>
                <c:ptCount val="34"/>
                <c:pt idx="0">
                  <c:v>7.5846230668753734</c:v>
                </c:pt>
                <c:pt idx="1">
                  <c:v>12.139761827848261</c:v>
                </c:pt>
                <c:pt idx="2">
                  <c:v>11.890975181847185</c:v>
                </c:pt>
                <c:pt idx="3">
                  <c:v>11.155826340317621</c:v>
                </c:pt>
                <c:pt idx="4">
                  <c:v>9.3790485144275237</c:v>
                </c:pt>
                <c:pt idx="5">
                  <c:v>8.4612376894180663</c:v>
                </c:pt>
                <c:pt idx="6">
                  <c:v>7.8578679034004395</c:v>
                </c:pt>
                <c:pt idx="7">
                  <c:v>6.6631861326085229</c:v>
                </c:pt>
                <c:pt idx="8">
                  <c:v>6.5864400520244892</c:v>
                </c:pt>
                <c:pt idx="9">
                  <c:v>7.449671240037592</c:v>
                </c:pt>
                <c:pt idx="10">
                  <c:v>7.2587857240463016</c:v>
                </c:pt>
                <c:pt idx="11">
                  <c:v>8.170817694717325</c:v>
                </c:pt>
                <c:pt idx="12">
                  <c:v>9.015547418381864</c:v>
                </c:pt>
                <c:pt idx="13">
                  <c:v>9.056475106341022</c:v>
                </c:pt>
                <c:pt idx="14">
                  <c:v>10.259854185387773</c:v>
                </c:pt>
                <c:pt idx="15">
                  <c:v>11.375075597772977</c:v>
                </c:pt>
                <c:pt idx="16">
                  <c:v>12.712034125161864</c:v>
                </c:pt>
                <c:pt idx="17">
                  <c:v>8.71840435188318</c:v>
                </c:pt>
                <c:pt idx="18">
                  <c:v>8.4891567271283108</c:v>
                </c:pt>
                <c:pt idx="19">
                  <c:v>9.5886598377340704</c:v>
                </c:pt>
                <c:pt idx="20">
                  <c:v>8.4936628044561147</c:v>
                </c:pt>
                <c:pt idx="21">
                  <c:v>6.8844979303836595</c:v>
                </c:pt>
                <c:pt idx="22">
                  <c:v>6.8249358615615208</c:v>
                </c:pt>
                <c:pt idx="23">
                  <c:v>6.5662918885362132</c:v>
                </c:pt>
                <c:pt idx="24">
                  <c:v>6.164574983107407</c:v>
                </c:pt>
                <c:pt idx="25">
                  <c:v>5.9828325396134474</c:v>
                </c:pt>
                <c:pt idx="26">
                  <c:v>6.0589479432271887</c:v>
                </c:pt>
                <c:pt idx="27">
                  <c:v>6.0705675705818862</c:v>
                </c:pt>
                <c:pt idx="28">
                  <c:v>5.5367539083539086</c:v>
                </c:pt>
                <c:pt idx="29">
                  <c:v>2.0751849908078768</c:v>
                </c:pt>
                <c:pt idx="30">
                  <c:v>8.1333202372697144</c:v>
                </c:pt>
                <c:pt idx="31">
                  <c:v>3.099175392365261</c:v>
                </c:pt>
                <c:pt idx="32">
                  <c:v>5.3771213802397355</c:v>
                </c:pt>
                <c:pt idx="33">
                  <c:v>4.9805123479865543</c:v>
                </c:pt>
              </c:numCache>
            </c:numRef>
          </c:xVal>
          <c:yVal>
            <c:numRef>
              <c:f>China!$D$2:$D$35</c:f>
              <c:numCache>
                <c:formatCode>0.0000</c:formatCode>
                <c:ptCount val="34"/>
                <c:pt idx="1">
                  <c:v>79.477340820989653</c:v>
                </c:pt>
                <c:pt idx="2">
                  <c:v>91.693497884497546</c:v>
                </c:pt>
                <c:pt idx="3">
                  <c:v>-7.9901015635194295</c:v>
                </c:pt>
                <c:pt idx="4">
                  <c:v>-49.487340374807246</c:v>
                </c:pt>
                <c:pt idx="5">
                  <c:v>-32.211181079130085</c:v>
                </c:pt>
                <c:pt idx="6">
                  <c:v>41.850499859855965</c:v>
                </c:pt>
                <c:pt idx="7">
                  <c:v>23.61562906965996</c:v>
                </c:pt>
                <c:pt idx="8">
                  <c:v>-3.2772651379586319</c:v>
                </c:pt>
                <c:pt idx="9">
                  <c:v>18.943774316273743</c:v>
                </c:pt>
                <c:pt idx="10">
                  <c:v>41.343752762099975</c:v>
                </c:pt>
                <c:pt idx="11">
                  <c:v>-23.808768074740421</c:v>
                </c:pt>
                <c:pt idx="12">
                  <c:v>-18.525256438489322</c:v>
                </c:pt>
                <c:pt idx="13">
                  <c:v>8.6458252027896698</c:v>
                </c:pt>
                <c:pt idx="14">
                  <c:v>-20.548483928963424</c:v>
                </c:pt>
                <c:pt idx="15">
                  <c:v>-10.468737579321903</c:v>
                </c:pt>
                <c:pt idx="16">
                  <c:v>81.830145384882286</c:v>
                </c:pt>
                <c:pt idx="17">
                  <c:v>62.813389324865064</c:v>
                </c:pt>
                <c:pt idx="18">
                  <c:v>-112.04019336110933</c:v>
                </c:pt>
                <c:pt idx="19">
                  <c:v>59.497372717931349</c:v>
                </c:pt>
                <c:pt idx="20">
                  <c:v>-18.622412574868353</c:v>
                </c:pt>
                <c:pt idx="21">
                  <c:v>-29.984657142020289</c:v>
                </c:pt>
                <c:pt idx="22">
                  <c:v>0.50080482129854298</c:v>
                </c:pt>
                <c:pt idx="23">
                  <c:v>-9.6088999931338428</c:v>
                </c:pt>
                <c:pt idx="24">
                  <c:v>40.519585343188098</c:v>
                </c:pt>
                <c:pt idx="25">
                  <c:v>7.5596002226895358</c:v>
                </c:pt>
                <c:pt idx="26">
                  <c:v>-15.132099561098546</c:v>
                </c:pt>
                <c:pt idx="27">
                  <c:v>4.7587433920011719</c:v>
                </c:pt>
                <c:pt idx="28">
                  <c:v>-30.299520122151417</c:v>
                </c:pt>
                <c:pt idx="29">
                  <c:v>17.234375758659997</c:v>
                </c:pt>
                <c:pt idx="30">
                  <c:v>10.566217663786784</c:v>
                </c:pt>
                <c:pt idx="31">
                  <c:v>3.707307408162575</c:v>
                </c:pt>
                <c:pt idx="32">
                  <c:v>-18.372668950110565</c:v>
                </c:pt>
                <c:pt idx="33">
                  <c:v>-4.0057110893642749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0F-49F4-8102-3CBD6F89D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040800"/>
        <c:axId val="502040320"/>
      </c:scatterChart>
      <c:valAx>
        <c:axId val="50204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Previous</a:t>
                </a:r>
                <a:r>
                  <a:rPr lang="en-US" baseline="0"/>
                  <a:t> year real stock returns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40320"/>
        <c:crosses val="autoZero"/>
        <c:crossBetween val="midCat"/>
      </c:valAx>
      <c:valAx>
        <c:axId val="5020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 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4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Lagged Stock Returns and GDP Growth in the UK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UK!$D$1</c:f>
              <c:strCache>
                <c:ptCount val="1"/>
                <c:pt idx="0">
                  <c:v>r_GB(-1)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917235345581804"/>
                  <c:y val="-0.120748760571595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UK!$C$2:$C$42</c:f>
              <c:numCache>
                <c:formatCode>0.0000</c:formatCode>
                <c:ptCount val="41"/>
                <c:pt idx="0">
                  <c:v>2.4776165224510649</c:v>
                </c:pt>
                <c:pt idx="1">
                  <c:v>3.3091660890946173</c:v>
                </c:pt>
                <c:pt idx="2">
                  <c:v>3.7023160279424872</c:v>
                </c:pt>
                <c:pt idx="3">
                  <c:v>4.2484411304481995</c:v>
                </c:pt>
                <c:pt idx="4">
                  <c:v>4.6875209970314913</c:v>
                </c:pt>
                <c:pt idx="5">
                  <c:v>1.995499452812588</c:v>
                </c:pt>
                <c:pt idx="6">
                  <c:v>0.47731496953371533</c:v>
                </c:pt>
                <c:pt idx="7">
                  <c:v>-1.6101123502586745</c:v>
                </c:pt>
                <c:pt idx="8">
                  <c:v>1.0159873553126531</c:v>
                </c:pt>
                <c:pt idx="9">
                  <c:v>3.1912059371469681</c:v>
                </c:pt>
                <c:pt idx="10">
                  <c:v>4.5800495386902895</c:v>
                </c:pt>
                <c:pt idx="11">
                  <c:v>3.207851852242527</c:v>
                </c:pt>
                <c:pt idx="12">
                  <c:v>2.3266853133959486</c:v>
                </c:pt>
                <c:pt idx="13">
                  <c:v>4.5070980110612169</c:v>
                </c:pt>
                <c:pt idx="14">
                  <c:v>2.9033292631167384</c:v>
                </c:pt>
                <c:pt idx="15">
                  <c:v>2.5685362043290638</c:v>
                </c:pt>
                <c:pt idx="16">
                  <c:v>4.0677157924683627</c:v>
                </c:pt>
                <c:pt idx="17">
                  <c:v>1.9779090187833859</c:v>
                </c:pt>
                <c:pt idx="18">
                  <c:v>1.2712506957907266</c:v>
                </c:pt>
                <c:pt idx="19">
                  <c:v>2.7021659661853548</c:v>
                </c:pt>
                <c:pt idx="20">
                  <c:v>1.7304359110946521</c:v>
                </c:pt>
                <c:pt idx="21">
                  <c:v>2.0658142422290027</c:v>
                </c:pt>
                <c:pt idx="22">
                  <c:v>1.4311404383283488</c:v>
                </c:pt>
                <c:pt idx="23">
                  <c:v>2.110115232462384</c:v>
                </c:pt>
                <c:pt idx="24">
                  <c:v>-0.83645650664898596</c:v>
                </c:pt>
                <c:pt idx="25">
                  <c:v>-5.4523535240729615</c:v>
                </c:pt>
                <c:pt idx="26">
                  <c:v>1.4514842914740811</c:v>
                </c:pt>
                <c:pt idx="27">
                  <c:v>6.632689005421355E-2</c:v>
                </c:pt>
                <c:pt idx="28">
                  <c:v>0.80441751234783254</c:v>
                </c:pt>
                <c:pt idx="29">
                  <c:v>1.034333823882605</c:v>
                </c:pt>
                <c:pt idx="30">
                  <c:v>2.3641319871586575</c:v>
                </c:pt>
                <c:pt idx="31">
                  <c:v>1.396196621721657</c:v>
                </c:pt>
                <c:pt idx="32">
                  <c:v>1.3883091094882616</c:v>
                </c:pt>
                <c:pt idx="33">
                  <c:v>2.432717486573388</c:v>
                </c:pt>
                <c:pt idx="34">
                  <c:v>1.0509695178908984</c:v>
                </c:pt>
                <c:pt idx="35">
                  <c:v>0.73387665771047494</c:v>
                </c:pt>
                <c:pt idx="36">
                  <c:v>-10.758731306144043</c:v>
                </c:pt>
                <c:pt idx="37">
                  <c:v>7.8387872966315442</c:v>
                </c:pt>
                <c:pt idx="38">
                  <c:v>4.1001532045157774</c:v>
                </c:pt>
                <c:pt idx="39">
                  <c:v>-1.0336979766186971</c:v>
                </c:pt>
                <c:pt idx="40">
                  <c:v>5.4169325261455015E-2</c:v>
                </c:pt>
              </c:numCache>
            </c:numRef>
          </c:xVal>
          <c:yVal>
            <c:numRef>
              <c:f>UK!$D$2:$D$42</c:f>
              <c:numCache>
                <c:formatCode>0.0000</c:formatCode>
                <c:ptCount val="41"/>
                <c:pt idx="1">
                  <c:v>15.919407981614102</c:v>
                </c:pt>
                <c:pt idx="2">
                  <c:v>7.5916844992839048</c:v>
                </c:pt>
                <c:pt idx="3">
                  <c:v>13.849030606578776</c:v>
                </c:pt>
                <c:pt idx="4">
                  <c:v>-2.1616528644511943</c:v>
                </c:pt>
                <c:pt idx="5">
                  <c:v>0.4321375701685044</c:v>
                </c:pt>
                <c:pt idx="6">
                  <c:v>24.333416427976687</c:v>
                </c:pt>
                <c:pt idx="7">
                  <c:v>-20.312387651159778</c:v>
                </c:pt>
                <c:pt idx="8">
                  <c:v>7.6515733179970544</c:v>
                </c:pt>
                <c:pt idx="9">
                  <c:v>8.6647760399829927</c:v>
                </c:pt>
                <c:pt idx="10">
                  <c:v>15.74966562457073</c:v>
                </c:pt>
                <c:pt idx="11">
                  <c:v>-13.115204317749242</c:v>
                </c:pt>
                <c:pt idx="12">
                  <c:v>15.825109810868707</c:v>
                </c:pt>
                <c:pt idx="13">
                  <c:v>8.1534457599654662</c:v>
                </c:pt>
                <c:pt idx="14">
                  <c:v>19.867675887346877</c:v>
                </c:pt>
                <c:pt idx="15">
                  <c:v>11.761601505302139</c:v>
                </c:pt>
                <c:pt idx="16">
                  <c:v>14.636032375918759</c:v>
                </c:pt>
                <c:pt idx="17">
                  <c:v>-11.954647997565967</c:v>
                </c:pt>
                <c:pt idx="18">
                  <c:v>-19.149605776867851</c:v>
                </c:pt>
                <c:pt idx="19">
                  <c:v>-29.592097711353286</c:v>
                </c:pt>
                <c:pt idx="20">
                  <c:v>11.388359776980685</c:v>
                </c:pt>
                <c:pt idx="21">
                  <c:v>5.8755837366214418</c:v>
                </c:pt>
                <c:pt idx="22">
                  <c:v>13.363609741445979</c:v>
                </c:pt>
                <c:pt idx="23">
                  <c:v>7.7223781225381591</c:v>
                </c:pt>
                <c:pt idx="24">
                  <c:v>1.3385195534844021</c:v>
                </c:pt>
                <c:pt idx="25">
                  <c:v>-41.102296153196839</c:v>
                </c:pt>
                <c:pt idx="26">
                  <c:v>17.982353080194457</c:v>
                </c:pt>
                <c:pt idx="27">
                  <c:v>6.1234335405386702</c:v>
                </c:pt>
                <c:pt idx="28">
                  <c:v>-9.5698999925433217</c:v>
                </c:pt>
                <c:pt idx="29">
                  <c:v>3.1044441687515061</c:v>
                </c:pt>
                <c:pt idx="30">
                  <c:v>11.19099187503684</c:v>
                </c:pt>
                <c:pt idx="31">
                  <c:v>-4.2000356649830213</c:v>
                </c:pt>
                <c:pt idx="32">
                  <c:v>-5.4247086229496988</c:v>
                </c:pt>
                <c:pt idx="33">
                  <c:v>12.467297452992776</c:v>
                </c:pt>
                <c:pt idx="34">
                  <c:v>4.7944140345705426</c:v>
                </c:pt>
                <c:pt idx="35">
                  <c:v>-15.626190878227824</c:v>
                </c:pt>
                <c:pt idx="36">
                  <c:v>9.6867446369270152</c:v>
                </c:pt>
                <c:pt idx="37">
                  <c:v>-16.473079422408489</c:v>
                </c:pt>
                <c:pt idx="38">
                  <c:v>10.84951047484692</c:v>
                </c:pt>
                <c:pt idx="39">
                  <c:v>-7.0161551767405212</c:v>
                </c:pt>
                <c:pt idx="40">
                  <c:v>-3.0859311881836193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58-4D98-B7B1-6B426001B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727679"/>
        <c:axId val="1586723839"/>
      </c:scatterChart>
      <c:valAx>
        <c:axId val="158672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Previous year real</a:t>
                </a:r>
                <a:r>
                  <a:rPr lang="en-US" baseline="0"/>
                  <a:t> stock returns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723839"/>
        <c:crosses val="autoZero"/>
        <c:crossBetween val="midCat"/>
      </c:valAx>
      <c:valAx>
        <c:axId val="158672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 Growth (%)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52407407407407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72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Real Stock Returns (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r</a:t>
            </a:r>
            <a:r>
              <a:rPr lang="en-US"/>
              <a:t>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552024DA-5425-4CAC-BD19-35076EB3F8C0}">
          <cx:tx>
            <cx:txData>
              <cx:f>_xlchart.v1.4</cx:f>
              <cx:v>r_CN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1C8AF29-C793-4FC2-AAC6-EC1B5E3E7B20}">
          <cx:tx>
            <cx:txData>
              <cx:f>_xlchart.v1.6</cx:f>
              <cx:v>r_GB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80" min="-80"/>
        <cx:title>
          <cx:tx>
            <cx:txData>
              <cx:v>Percentage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Percentage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GDP Growth (Dy)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GDP Growth (Dy)</a:t>
          </a:r>
        </a:p>
      </cx:txPr>
    </cx:title>
    <cx:plotArea>
      <cx:plotAreaRegion>
        <cx:series layoutId="boxWhisker" uniqueId="{A230A5EE-C5CF-4858-A563-3FEB5586D0AE}">
          <cx:tx>
            <cx:txData>
              <cx:f>_xlchart.v1.0</cx:f>
              <cx:v>Dy_CN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2A8A126-DB18-48D2-99AA-C0486DE7EA06}">
          <cx:tx>
            <cx:txData>
              <cx:f>_xlchart.v1.2</cx:f>
              <cx:v>Dy_GB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Percentage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Percentage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Real Stock Returns (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r</a:t>
            </a:r>
            <a:r>
              <a:rPr lang="en-US"/>
              <a:t>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552024DA-5425-4CAC-BD19-35076EB3F8C0}">
          <cx:tx>
            <cx:txData>
              <cx:f>_xlchart.v1.8</cx:f>
              <cx:v>r_CN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1C8AF29-C793-4FC2-AAC6-EC1B5E3E7B20}">
          <cx:tx>
            <cx:txData>
              <cx:f>_xlchart.v1.10</cx:f>
              <cx:v>r_GB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/>
        <cx:tickLabels/>
      </cx:axis>
      <cx:axis id="1">
        <cx:valScaling max="80" min="-80"/>
        <cx:title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</cx:chartData>
  <cx:chart>
    <cx:title pos="t" align="ctr" overlay="0">
      <cx:tx>
        <cx:txData>
          <cx:v>GDP Growth (Dy)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GDP Growth (Dy)</a:t>
          </a:r>
        </a:p>
      </cx:txPr>
    </cx:title>
    <cx:plotArea>
      <cx:plotAreaRegion>
        <cx:series layoutId="boxWhisker" uniqueId="{A230A5EE-C5CF-4858-A563-3FEB5586D0AE}">
          <cx:tx>
            <cx:txData>
              <cx:f>_xlchart.v1.12</cx:f>
              <cx:v>Dy_CN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2A8A126-DB18-48D2-99AA-C0486DE7EA06}">
          <cx:tx>
            <cx:txData>
              <cx:f>_xlchart.v1.14</cx:f>
              <cx:v>Dy_GB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Percentage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Percentage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11.xml"/><Relationship Id="rId7" Type="http://schemas.openxmlformats.org/officeDocument/2006/relationships/chart" Target="../charts/chart13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4329</xdr:colOff>
      <xdr:row>24</xdr:row>
      <xdr:rowOff>13855</xdr:rowOff>
    </xdr:from>
    <xdr:to>
      <xdr:col>11</xdr:col>
      <xdr:colOff>350693</xdr:colOff>
      <xdr:row>38</xdr:row>
      <xdr:rowOff>90055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4E9EA-2878-8165-E94F-992BD9A6B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12988</xdr:colOff>
      <xdr:row>24</xdr:row>
      <xdr:rowOff>13855</xdr:rowOff>
    </xdr:from>
    <xdr:to>
      <xdr:col>18</xdr:col>
      <xdr:colOff>99579</xdr:colOff>
      <xdr:row>38</xdr:row>
      <xdr:rowOff>90055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80DDFD-CD45-00AD-FEB9-2207B2611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123791</xdr:colOff>
      <xdr:row>18</xdr:row>
      <xdr:rowOff>37635</xdr:rowOff>
    </xdr:from>
    <xdr:to>
      <xdr:col>11</xdr:col>
      <xdr:colOff>451439</xdr:colOff>
      <xdr:row>32</xdr:row>
      <xdr:rowOff>105254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48234C-EB16-6135-47E9-08092F0D0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712303</xdr:colOff>
      <xdr:row>16</xdr:row>
      <xdr:rowOff>61291</xdr:rowOff>
    </xdr:from>
    <xdr:to>
      <xdr:col>8</xdr:col>
      <xdr:colOff>132521</xdr:colOff>
      <xdr:row>30</xdr:row>
      <xdr:rowOff>120926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F50E7E-79F6-0CC2-4C3A-BCDC43A1A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1570</xdr:colOff>
      <xdr:row>22</xdr:row>
      <xdr:rowOff>7431</xdr:rowOff>
    </xdr:from>
    <xdr:to>
      <xdr:col>11</xdr:col>
      <xdr:colOff>351692</xdr:colOff>
      <xdr:row>36</xdr:row>
      <xdr:rowOff>101948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5E1ADA-37CA-4436-6F3C-378A5A439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22</xdr:row>
      <xdr:rowOff>6124</xdr:rowOff>
    </xdr:from>
    <xdr:to>
      <xdr:col>17</xdr:col>
      <xdr:colOff>374196</xdr:colOff>
      <xdr:row>36</xdr:row>
      <xdr:rowOff>82324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F0EE896-CA73-4CB6-DF20-9EF452DF0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4329</xdr:colOff>
      <xdr:row>85</xdr:row>
      <xdr:rowOff>5195</xdr:rowOff>
    </xdr:from>
    <xdr:to>
      <xdr:col>11</xdr:col>
      <xdr:colOff>359352</xdr:colOff>
      <xdr:row>99</xdr:row>
      <xdr:rowOff>81395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13D8BD4-7D97-6017-CD09-22E9ED72C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1169056</xdr:colOff>
      <xdr:row>84</xdr:row>
      <xdr:rowOff>182952</xdr:rowOff>
    </xdr:from>
    <xdr:to>
      <xdr:col>17</xdr:col>
      <xdr:colOff>771881</xdr:colOff>
      <xdr:row>99</xdr:row>
      <xdr:rowOff>95609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B3F17-A3FA-56F9-54C6-397C84F98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200025</xdr:colOff>
      <xdr:row>23</xdr:row>
      <xdr:rowOff>19050</xdr:rowOff>
    </xdr:from>
    <xdr:to>
      <xdr:col>17</xdr:col>
      <xdr:colOff>504825</xdr:colOff>
      <xdr:row>37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EC6A8-E905-4691-B154-1AFEA23CF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200025</xdr:colOff>
      <xdr:row>23</xdr:row>
      <xdr:rowOff>28575</xdr:rowOff>
    </xdr:from>
    <xdr:to>
      <xdr:col>29</xdr:col>
      <xdr:colOff>504825</xdr:colOff>
      <xdr:row>37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C495C8-EEFC-4CCB-9B6E-EB3466A28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142875</xdr:colOff>
      <xdr:row>3</xdr:row>
      <xdr:rowOff>28575</xdr:rowOff>
    </xdr:from>
    <xdr:to>
      <xdr:col>17</xdr:col>
      <xdr:colOff>437208</xdr:colOff>
      <xdr:row>17</xdr:row>
      <xdr:rowOff>123092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F90FF0-ADBD-48DC-998C-D6AF44C1E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180974</xdr:colOff>
      <xdr:row>3</xdr:row>
      <xdr:rowOff>38100</xdr:rowOff>
    </xdr:from>
    <xdr:to>
      <xdr:col>29</xdr:col>
      <xdr:colOff>476249</xdr:colOff>
      <xdr:row>17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E5326A-4C63-4309-9854-D8675DCA5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152400</xdr:colOff>
      <xdr:row>43</xdr:row>
      <xdr:rowOff>38100</xdr:rowOff>
    </xdr:from>
    <xdr:to>
      <xdr:col>17</xdr:col>
      <xdr:colOff>491067</xdr:colOff>
      <xdr:row>57</xdr:row>
      <xdr:rowOff>114300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E56B97D5-BDA2-FEC9-B43E-903C30BAFFA6}"/>
            </a:ext>
          </a:extLst>
        </xdr:cNvPr>
        <xdr:cNvGrpSpPr/>
      </xdr:nvGrpSpPr>
      <xdr:grpSpPr>
        <a:xfrm>
          <a:off x="8066088" y="8229600"/>
          <a:ext cx="4616979" cy="2743200"/>
          <a:chOff x="7905750" y="6858000"/>
          <a:chExt cx="4605867" cy="2743200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6" name="Chart 5">
                <a:extLst>
                  <a:ext uri="{FF2B5EF4-FFF2-40B4-BE49-F238E27FC236}">
                    <a16:creationId xmlns:a16="http://schemas.microsoft.com/office/drawing/2014/main" id="{86BB6BC5-64D3-447A-9BB9-9F8FBAC6F5D8}"/>
                  </a:ext>
                </a:extLst>
              </xdr:cNvPr>
              <xdr:cNvGraphicFramePr/>
            </xdr:nvGraphicFramePr>
            <xdr:xfrm>
              <a:off x="7905750" y="6858000"/>
              <a:ext cx="4605867" cy="27432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5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905750" y="6858000"/>
                <a:ext cx="4605867" cy="27432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DA0FDAC0-6DA9-4CA7-82C3-038F57DF068F}"/>
              </a:ext>
            </a:extLst>
          </xdr:cNvPr>
          <xdr:cNvCxnSpPr/>
        </xdr:nvCxnSpPr>
        <xdr:spPr>
          <a:xfrm>
            <a:off x="8667750" y="8458200"/>
            <a:ext cx="3797300" cy="0"/>
          </a:xfrm>
          <a:prstGeom prst="line">
            <a:avLst/>
          </a:prstGeom>
          <a:ln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192232</xdr:colOff>
      <xdr:row>43</xdr:row>
      <xdr:rowOff>51089</xdr:rowOff>
    </xdr:from>
    <xdr:to>
      <xdr:col>29</xdr:col>
      <xdr:colOff>493568</xdr:colOff>
      <xdr:row>57</xdr:row>
      <xdr:rowOff>127289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283AE5E1-8AA0-F57F-DDF8-24BAD20B5415}"/>
            </a:ext>
          </a:extLst>
        </xdr:cNvPr>
        <xdr:cNvGrpSpPr/>
      </xdr:nvGrpSpPr>
      <xdr:grpSpPr>
        <a:xfrm>
          <a:off x="15440170" y="8242589"/>
          <a:ext cx="4579648" cy="2743200"/>
          <a:chOff x="15562118" y="8181975"/>
          <a:chExt cx="4544291" cy="2743200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8" name="Chart 7">
                <a:extLst>
                  <a:ext uri="{FF2B5EF4-FFF2-40B4-BE49-F238E27FC236}">
                    <a16:creationId xmlns:a16="http://schemas.microsoft.com/office/drawing/2014/main" id="{2A0D1351-A865-439F-9A58-0AC41DA915F5}"/>
                  </a:ext>
                </a:extLst>
              </xdr:cNvPr>
              <xdr:cNvGraphicFramePr/>
            </xdr:nvGraphicFramePr>
            <xdr:xfrm>
              <a:off x="15562118" y="8181975"/>
              <a:ext cx="4544291" cy="27432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6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562118" y="8181975"/>
                <a:ext cx="4544291" cy="27432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08F52142-9B2A-4E40-965C-64B3FF6D4478}"/>
              </a:ext>
            </a:extLst>
          </xdr:cNvPr>
          <xdr:cNvCxnSpPr/>
        </xdr:nvCxnSpPr>
        <xdr:spPr>
          <a:xfrm>
            <a:off x="16352908" y="9790945"/>
            <a:ext cx="3740801" cy="755"/>
          </a:xfrm>
          <a:prstGeom prst="line">
            <a:avLst/>
          </a:prstGeom>
          <a:ln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216693</xdr:colOff>
      <xdr:row>63</xdr:row>
      <xdr:rowOff>52388</xdr:rowOff>
    </xdr:from>
    <xdr:to>
      <xdr:col>17</xdr:col>
      <xdr:colOff>528637</xdr:colOff>
      <xdr:row>77</xdr:row>
      <xdr:rowOff>128588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AC3B894-6465-4405-9C63-A9F3EF55F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109537</xdr:colOff>
      <xdr:row>63</xdr:row>
      <xdr:rowOff>73820</xdr:rowOff>
    </xdr:from>
    <xdr:to>
      <xdr:col>29</xdr:col>
      <xdr:colOff>411956</xdr:colOff>
      <xdr:row>77</xdr:row>
      <xdr:rowOff>150020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C3E03B3-1BB2-4F9D-A7BE-E3C60CB42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21</xdr:row>
      <xdr:rowOff>147637</xdr:rowOff>
    </xdr:from>
    <xdr:to>
      <xdr:col>18</xdr:col>
      <xdr:colOff>228600</xdr:colOff>
      <xdr:row>36</xdr:row>
      <xdr:rowOff>33337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C86F9DD-A2EC-732A-0A52-5CFDF789D8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86550" y="41481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99484</xdr:colOff>
      <xdr:row>29</xdr:row>
      <xdr:rowOff>116417</xdr:rowOff>
    </xdr:from>
    <xdr:to>
      <xdr:col>18</xdr:col>
      <xdr:colOff>213784</xdr:colOff>
      <xdr:row>29</xdr:row>
      <xdr:rowOff>116417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EBEDC1E-72E3-4A21-BB0F-36A2BAAAED64}"/>
            </a:ext>
          </a:extLst>
        </xdr:cNvPr>
        <xdr:cNvCxnSpPr/>
      </xdr:nvCxnSpPr>
      <xdr:spPr>
        <a:xfrm>
          <a:off x="7401984" y="5640917"/>
          <a:ext cx="3765550" cy="0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306917</xdr:colOff>
      <xdr:row>21</xdr:row>
      <xdr:rowOff>125941</xdr:rowOff>
    </xdr:from>
    <xdr:to>
      <xdr:col>26</xdr:col>
      <xdr:colOff>582083</xdr:colOff>
      <xdr:row>36</xdr:row>
      <xdr:rowOff>11641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74FCB0A-7842-DA05-A2A2-BF3DF1B70D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46467" y="4126441"/>
              <a:ext cx="454236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486833</xdr:colOff>
      <xdr:row>29</xdr:row>
      <xdr:rowOff>10584</xdr:rowOff>
    </xdr:from>
    <xdr:to>
      <xdr:col>26</xdr:col>
      <xdr:colOff>601133</xdr:colOff>
      <xdr:row>29</xdr:row>
      <xdr:rowOff>10584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3C142E0-D120-4460-8A3F-B9A317152AA3}"/>
            </a:ext>
          </a:extLst>
        </xdr:cNvPr>
        <xdr:cNvCxnSpPr/>
      </xdr:nvCxnSpPr>
      <xdr:spPr>
        <a:xfrm>
          <a:off x="12763500" y="5535084"/>
          <a:ext cx="3797300" cy="0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E783-DF1A-4440-B27C-FAD563BA8E14}">
  <dimension ref="A1:Z82"/>
  <sheetViews>
    <sheetView topLeftCell="A67" zoomScale="115" zoomScaleNormal="115" workbookViewId="0">
      <selection activeCell="L20" sqref="L20"/>
    </sheetView>
  </sheetViews>
  <sheetFormatPr defaultRowHeight="15" x14ac:dyDescent="0.25"/>
  <cols>
    <col min="1" max="1" width="10" customWidth="1"/>
    <col min="2" max="5" width="12.85546875" customWidth="1"/>
    <col min="6" max="6" width="10.5703125" bestFit="1" customWidth="1"/>
    <col min="8" max="8" width="18.7109375" customWidth="1"/>
    <col min="9" max="9" width="13" customWidth="1"/>
    <col min="10" max="10" width="18.7109375" customWidth="1"/>
    <col min="11" max="11" width="13" customWidth="1"/>
    <col min="12" max="12" width="18.7109375" customWidth="1"/>
    <col min="13" max="13" width="13" customWidth="1"/>
    <col min="14" max="14" width="11.5703125" customWidth="1"/>
    <col min="15" max="15" width="13" customWidth="1"/>
    <col min="18" max="18" width="11.5703125" customWidth="1"/>
    <col min="19" max="19" width="13" customWidth="1"/>
  </cols>
  <sheetData>
    <row r="1" spans="1:19" ht="15.75" thickBot="1" x14ac:dyDescent="0.3">
      <c r="A1" s="2" t="s">
        <v>0</v>
      </c>
      <c r="B1" s="2" t="s">
        <v>3</v>
      </c>
      <c r="C1" s="2" t="s">
        <v>4</v>
      </c>
      <c r="D1" s="2" t="s">
        <v>7</v>
      </c>
      <c r="E1" s="2" t="s">
        <v>8</v>
      </c>
      <c r="F1" s="2" t="s">
        <v>76</v>
      </c>
    </row>
    <row r="2" spans="1:19" x14ac:dyDescent="0.25">
      <c r="A2">
        <v>1984</v>
      </c>
      <c r="B2" s="1">
        <v>15.919407981614102</v>
      </c>
      <c r="C2" s="1">
        <v>2.4776165224510649</v>
      </c>
      <c r="H2" s="4" t="s">
        <v>3</v>
      </c>
      <c r="I2" s="4"/>
      <c r="J2" s="4" t="s">
        <v>4</v>
      </c>
      <c r="K2" s="4"/>
      <c r="L2" s="6"/>
      <c r="M2" s="6"/>
      <c r="N2" s="6"/>
      <c r="O2" s="6"/>
    </row>
    <row r="3" spans="1:19" x14ac:dyDescent="0.25">
      <c r="A3">
        <v>1985</v>
      </c>
      <c r="B3" s="1">
        <v>7.5916844992839048</v>
      </c>
      <c r="C3" s="1">
        <v>3.3091660890946173</v>
      </c>
      <c r="D3" s="1">
        <f>B2</f>
        <v>15.919407981614102</v>
      </c>
      <c r="E3" s="1">
        <f>C2</f>
        <v>2.4776165224510649</v>
      </c>
      <c r="F3" s="1">
        <v>15.919407981614102</v>
      </c>
      <c r="N3" t="s">
        <v>3</v>
      </c>
      <c r="O3" t="s">
        <v>26</v>
      </c>
      <c r="R3" t="s">
        <v>4</v>
      </c>
      <c r="S3" t="s">
        <v>26</v>
      </c>
    </row>
    <row r="4" spans="1:19" x14ac:dyDescent="0.25">
      <c r="A4">
        <v>1986</v>
      </c>
      <c r="B4" s="1">
        <v>13.849030606578776</v>
      </c>
      <c r="C4" s="1">
        <v>3.7023160279424872</v>
      </c>
      <c r="D4" s="1">
        <f t="shared" ref="D4:D42" si="0">B3</f>
        <v>7.5916844992839048</v>
      </c>
      <c r="E4" s="1">
        <f t="shared" ref="E4:E42" si="1">C3</f>
        <v>3.3091660890946173</v>
      </c>
      <c r="F4" s="1">
        <v>7.5916844992839048</v>
      </c>
      <c r="H4" t="s">
        <v>9</v>
      </c>
      <c r="I4">
        <v>2.0438728707919265</v>
      </c>
      <c r="J4" t="s">
        <v>9</v>
      </c>
      <c r="K4">
        <v>1.6482850737297383</v>
      </c>
      <c r="N4">
        <v>-45</v>
      </c>
      <c r="O4" cm="1">
        <f t="array" ref="O4:O20">FREQUENCY(B2:B42,N4:N19)</f>
        <v>0</v>
      </c>
      <c r="R4">
        <v>-15</v>
      </c>
      <c r="S4" cm="1">
        <f t="array" ref="S4:S17">FREQUENCY(C2:C42,R4:R16)</f>
        <v>0</v>
      </c>
    </row>
    <row r="5" spans="1:19" x14ac:dyDescent="0.25">
      <c r="A5">
        <v>1987</v>
      </c>
      <c r="B5" s="1">
        <v>-2.1616528644511943</v>
      </c>
      <c r="C5" s="1">
        <v>4.2484411304481995</v>
      </c>
      <c r="D5" s="1">
        <f t="shared" si="0"/>
        <v>13.849030606578776</v>
      </c>
      <c r="E5" s="1">
        <f t="shared" si="1"/>
        <v>3.7023160279424872</v>
      </c>
      <c r="F5" s="1">
        <v>13.849030606578776</v>
      </c>
      <c r="H5" t="s">
        <v>10</v>
      </c>
      <c r="I5">
        <v>2.2143809143431072</v>
      </c>
      <c r="J5" t="s">
        <v>10</v>
      </c>
      <c r="K5">
        <v>0.45463001650505563</v>
      </c>
      <c r="N5">
        <v>-40</v>
      </c>
      <c r="O5">
        <v>1</v>
      </c>
      <c r="R5">
        <v>-12.5</v>
      </c>
      <c r="S5">
        <v>0</v>
      </c>
    </row>
    <row r="6" spans="1:19" x14ac:dyDescent="0.25">
      <c r="A6">
        <v>1988</v>
      </c>
      <c r="B6" s="1">
        <v>0.4321375701685044</v>
      </c>
      <c r="C6" s="1">
        <v>4.6875209970314913</v>
      </c>
      <c r="D6" s="1">
        <f t="shared" si="0"/>
        <v>-2.1616528644511943</v>
      </c>
      <c r="E6" s="1">
        <f t="shared" si="1"/>
        <v>4.2484411304481995</v>
      </c>
      <c r="F6" s="1">
        <v>-2.1616528644511943</v>
      </c>
      <c r="H6" t="s">
        <v>11</v>
      </c>
      <c r="I6">
        <v>6.1234335405386702</v>
      </c>
      <c r="J6" t="s">
        <v>11</v>
      </c>
      <c r="K6">
        <v>1.995499452812588</v>
      </c>
      <c r="N6">
        <v>-35</v>
      </c>
      <c r="O6">
        <v>0</v>
      </c>
      <c r="R6">
        <v>-10</v>
      </c>
      <c r="S6">
        <v>1</v>
      </c>
    </row>
    <row r="7" spans="1:19" x14ac:dyDescent="0.25">
      <c r="A7">
        <v>1989</v>
      </c>
      <c r="B7" s="1">
        <v>24.333416427976687</v>
      </c>
      <c r="C7" s="1">
        <v>1.995499452812588</v>
      </c>
      <c r="D7" s="1">
        <f t="shared" si="0"/>
        <v>0.4321375701685044</v>
      </c>
      <c r="E7" s="1">
        <f t="shared" si="1"/>
        <v>4.6875209970314913</v>
      </c>
      <c r="F7" s="1">
        <v>0.4321375701685044</v>
      </c>
      <c r="H7" t="s">
        <v>12</v>
      </c>
      <c r="I7" t="e">
        <v>#N/A</v>
      </c>
      <c r="J7" t="s">
        <v>12</v>
      </c>
      <c r="K7" t="e">
        <v>#N/A</v>
      </c>
      <c r="N7">
        <v>-30</v>
      </c>
      <c r="O7">
        <v>0</v>
      </c>
      <c r="R7">
        <v>-7.5</v>
      </c>
      <c r="S7">
        <v>0</v>
      </c>
    </row>
    <row r="8" spans="1:19" x14ac:dyDescent="0.25">
      <c r="A8">
        <v>1990</v>
      </c>
      <c r="B8" s="1">
        <v>-20.312387651159778</v>
      </c>
      <c r="C8" s="1">
        <v>0.47731496953371533</v>
      </c>
      <c r="D8" s="1">
        <f t="shared" si="0"/>
        <v>24.333416427976687</v>
      </c>
      <c r="E8" s="1">
        <f t="shared" si="1"/>
        <v>1.995499452812588</v>
      </c>
      <c r="F8" s="1">
        <v>24.333416427976687</v>
      </c>
      <c r="H8" t="s">
        <v>13</v>
      </c>
      <c r="I8">
        <v>14.178956103539063</v>
      </c>
      <c r="J8" t="s">
        <v>13</v>
      </c>
      <c r="K8">
        <v>2.9110524777480178</v>
      </c>
      <c r="N8">
        <v>-25</v>
      </c>
      <c r="O8">
        <v>1</v>
      </c>
      <c r="R8">
        <v>-5</v>
      </c>
      <c r="S8">
        <v>1</v>
      </c>
    </row>
    <row r="9" spans="1:19" x14ac:dyDescent="0.25">
      <c r="A9">
        <v>1991</v>
      </c>
      <c r="B9" s="1">
        <v>7.6515733179970544</v>
      </c>
      <c r="C9" s="1">
        <v>-1.6101123502586745</v>
      </c>
      <c r="D9" s="1">
        <f t="shared" si="0"/>
        <v>-20.312387651159778</v>
      </c>
      <c r="E9" s="1">
        <f t="shared" si="1"/>
        <v>0.47731496953371533</v>
      </c>
      <c r="F9" s="1">
        <v>-20.312387651159778</v>
      </c>
      <c r="H9" t="s">
        <v>14</v>
      </c>
      <c r="I9">
        <v>201.04279618608763</v>
      </c>
      <c r="J9" t="s">
        <v>14</v>
      </c>
      <c r="K9">
        <v>8.4742265282028733</v>
      </c>
      <c r="N9">
        <v>-20</v>
      </c>
      <c r="O9">
        <v>1</v>
      </c>
      <c r="R9">
        <v>-2.5</v>
      </c>
      <c r="S9">
        <v>0</v>
      </c>
    </row>
    <row r="10" spans="1:19" x14ac:dyDescent="0.25">
      <c r="A10">
        <v>1992</v>
      </c>
      <c r="B10" s="1">
        <v>8.6647760399829927</v>
      </c>
      <c r="C10" s="1">
        <v>1.0159873553126531</v>
      </c>
      <c r="D10" s="1">
        <f t="shared" si="0"/>
        <v>7.6515733179970544</v>
      </c>
      <c r="E10" s="1">
        <f t="shared" si="1"/>
        <v>-1.6101123502586745</v>
      </c>
      <c r="F10" s="1">
        <v>7.6515733179970544</v>
      </c>
      <c r="H10" t="s">
        <v>15</v>
      </c>
      <c r="I10">
        <v>0.99348455583951223</v>
      </c>
      <c r="J10" t="s">
        <v>15</v>
      </c>
      <c r="K10">
        <v>8.2127701096145884</v>
      </c>
      <c r="N10">
        <v>-15</v>
      </c>
      <c r="O10">
        <v>3</v>
      </c>
      <c r="R10">
        <v>0</v>
      </c>
      <c r="S10">
        <v>3</v>
      </c>
    </row>
    <row r="11" spans="1:19" x14ac:dyDescent="0.25">
      <c r="A11">
        <v>1993</v>
      </c>
      <c r="B11" s="1">
        <v>15.74966562457073</v>
      </c>
      <c r="C11" s="1">
        <v>3.1912059371469681</v>
      </c>
      <c r="D11" s="1">
        <f t="shared" si="0"/>
        <v>8.6647760399829927</v>
      </c>
      <c r="E11" s="1">
        <f t="shared" si="1"/>
        <v>1.0159873553126531</v>
      </c>
      <c r="F11" s="1">
        <v>8.6647760399829927</v>
      </c>
      <c r="H11" t="s">
        <v>16</v>
      </c>
      <c r="I11">
        <v>-1.0534341391221123</v>
      </c>
      <c r="J11" t="s">
        <v>16</v>
      </c>
      <c r="K11">
        <v>-2.0901968957184933</v>
      </c>
      <c r="N11">
        <v>-10</v>
      </c>
      <c r="O11">
        <v>2</v>
      </c>
      <c r="R11">
        <v>2.5</v>
      </c>
      <c r="S11">
        <v>22</v>
      </c>
    </row>
    <row r="12" spans="1:19" x14ac:dyDescent="0.25">
      <c r="A12">
        <v>1994</v>
      </c>
      <c r="B12" s="1">
        <v>-13.115204317749242</v>
      </c>
      <c r="C12" s="1">
        <v>4.5800495386902895</v>
      </c>
      <c r="D12" s="1">
        <f t="shared" si="0"/>
        <v>15.74966562457073</v>
      </c>
      <c r="E12" s="1">
        <f t="shared" si="1"/>
        <v>3.1912059371469681</v>
      </c>
      <c r="F12" s="1">
        <v>15.74966562457073</v>
      </c>
      <c r="H12" t="s">
        <v>17</v>
      </c>
      <c r="I12">
        <v>65.435712581173533</v>
      </c>
      <c r="J12" t="s">
        <v>17</v>
      </c>
      <c r="K12">
        <v>18.597518602775587</v>
      </c>
      <c r="N12">
        <v>-5</v>
      </c>
      <c r="O12">
        <v>3</v>
      </c>
      <c r="R12">
        <v>5</v>
      </c>
      <c r="S12">
        <v>13</v>
      </c>
    </row>
    <row r="13" spans="1:19" x14ac:dyDescent="0.25">
      <c r="A13">
        <v>1995</v>
      </c>
      <c r="B13" s="1">
        <v>15.825109810868707</v>
      </c>
      <c r="C13" s="1">
        <v>3.207851852242527</v>
      </c>
      <c r="D13" s="1">
        <f t="shared" si="0"/>
        <v>-13.115204317749242</v>
      </c>
      <c r="E13" s="1">
        <f t="shared" si="1"/>
        <v>4.5800495386902895</v>
      </c>
      <c r="F13" s="1">
        <v>-13.115204317749242</v>
      </c>
      <c r="H13" t="s">
        <v>18</v>
      </c>
      <c r="I13">
        <v>-41.102296153196839</v>
      </c>
      <c r="J13" t="s">
        <v>18</v>
      </c>
      <c r="K13">
        <v>-10.758731306144043</v>
      </c>
      <c r="N13">
        <v>0</v>
      </c>
      <c r="O13">
        <v>3</v>
      </c>
      <c r="R13">
        <v>7.5</v>
      </c>
      <c r="S13">
        <v>0</v>
      </c>
    </row>
    <row r="14" spans="1:19" x14ac:dyDescent="0.25">
      <c r="A14">
        <v>1996</v>
      </c>
      <c r="B14" s="1">
        <v>8.1534457599654662</v>
      </c>
      <c r="C14" s="1">
        <v>2.3266853133959486</v>
      </c>
      <c r="D14" s="1">
        <f t="shared" si="0"/>
        <v>15.825109810868707</v>
      </c>
      <c r="E14" s="1">
        <f t="shared" si="1"/>
        <v>3.207851852242527</v>
      </c>
      <c r="F14" s="1">
        <v>15.825109810868707</v>
      </c>
      <c r="H14" t="s">
        <v>19</v>
      </c>
      <c r="I14">
        <v>24.333416427976687</v>
      </c>
      <c r="J14" t="s">
        <v>19</v>
      </c>
      <c r="K14">
        <v>7.8387872966315442</v>
      </c>
      <c r="N14">
        <v>5</v>
      </c>
      <c r="O14">
        <v>5</v>
      </c>
      <c r="R14">
        <v>10</v>
      </c>
      <c r="S14">
        <v>1</v>
      </c>
    </row>
    <row r="15" spans="1:19" x14ac:dyDescent="0.25">
      <c r="A15">
        <v>1997</v>
      </c>
      <c r="B15" s="1">
        <v>19.867675887346877</v>
      </c>
      <c r="C15" s="1">
        <v>4.5070980110612169</v>
      </c>
      <c r="D15" s="1">
        <f t="shared" si="0"/>
        <v>8.1534457599654662</v>
      </c>
      <c r="E15" s="1">
        <f t="shared" si="1"/>
        <v>2.3266853133959486</v>
      </c>
      <c r="F15" s="1">
        <v>8.1534457599654662</v>
      </c>
      <c r="H15" t="s">
        <v>20</v>
      </c>
      <c r="I15">
        <v>83.798787702468985</v>
      </c>
      <c r="J15" t="s">
        <v>20</v>
      </c>
      <c r="K15">
        <v>67.579688022919271</v>
      </c>
      <c r="N15">
        <v>10</v>
      </c>
      <c r="O15">
        <v>8</v>
      </c>
      <c r="R15">
        <v>12.5</v>
      </c>
      <c r="S15">
        <v>0</v>
      </c>
    </row>
    <row r="16" spans="1:19" ht="15.75" thickBot="1" x14ac:dyDescent="0.3">
      <c r="A16">
        <v>1998</v>
      </c>
      <c r="B16" s="1">
        <v>11.761601505302139</v>
      </c>
      <c r="C16" s="1">
        <v>2.9033292631167384</v>
      </c>
      <c r="D16" s="1">
        <f t="shared" si="0"/>
        <v>19.867675887346877</v>
      </c>
      <c r="E16" s="1">
        <f t="shared" si="1"/>
        <v>4.5070980110612169</v>
      </c>
      <c r="F16" s="1">
        <v>19.867675887346877</v>
      </c>
      <c r="H16" s="3" t="s">
        <v>21</v>
      </c>
      <c r="I16" s="3">
        <v>41</v>
      </c>
      <c r="J16" s="3" t="s">
        <v>21</v>
      </c>
      <c r="K16" s="3">
        <v>41</v>
      </c>
      <c r="N16">
        <v>15</v>
      </c>
      <c r="O16">
        <v>8</v>
      </c>
      <c r="R16">
        <v>15</v>
      </c>
      <c r="S16">
        <v>0</v>
      </c>
    </row>
    <row r="17" spans="1:19" x14ac:dyDescent="0.25">
      <c r="A17">
        <v>1999</v>
      </c>
      <c r="B17" s="1">
        <v>14.636032375918759</v>
      </c>
      <c r="C17" s="1">
        <v>2.5685362043290638</v>
      </c>
      <c r="D17" s="1">
        <f t="shared" si="0"/>
        <v>11.761601505302139</v>
      </c>
      <c r="E17" s="1">
        <f t="shared" si="1"/>
        <v>2.9033292631167384</v>
      </c>
      <c r="F17" s="1">
        <v>11.761601505302139</v>
      </c>
      <c r="N17">
        <v>20</v>
      </c>
      <c r="O17">
        <v>5</v>
      </c>
      <c r="S17">
        <v>0</v>
      </c>
    </row>
    <row r="18" spans="1:19" ht="15.75" thickBot="1" x14ac:dyDescent="0.3">
      <c r="A18">
        <v>2000</v>
      </c>
      <c r="B18" s="1">
        <v>-11.954647997565967</v>
      </c>
      <c r="C18" s="1">
        <v>4.0677157924683627</v>
      </c>
      <c r="D18" s="1">
        <f t="shared" si="0"/>
        <v>14.636032375918759</v>
      </c>
      <c r="E18" s="1">
        <f t="shared" si="1"/>
        <v>2.5685362043290638</v>
      </c>
      <c r="F18" s="1">
        <v>14.636032375918759</v>
      </c>
      <c r="N18">
        <v>25</v>
      </c>
      <c r="O18">
        <v>1</v>
      </c>
    </row>
    <row r="19" spans="1:19" x14ac:dyDescent="0.25">
      <c r="A19">
        <v>2001</v>
      </c>
      <c r="B19" s="1">
        <v>-19.149605776867851</v>
      </c>
      <c r="C19" s="1">
        <v>1.9779090187833859</v>
      </c>
      <c r="D19" s="1">
        <f t="shared" si="0"/>
        <v>-11.954647997565967</v>
      </c>
      <c r="E19" s="1">
        <f t="shared" si="1"/>
        <v>4.0677157924683627</v>
      </c>
      <c r="F19" s="1">
        <v>-11.954647997565967</v>
      </c>
      <c r="H19" s="4"/>
      <c r="I19" s="4" t="s">
        <v>4</v>
      </c>
      <c r="J19" s="4" t="s">
        <v>7</v>
      </c>
      <c r="N19">
        <v>30</v>
      </c>
      <c r="O19">
        <v>0</v>
      </c>
    </row>
    <row r="20" spans="1:19" x14ac:dyDescent="0.25">
      <c r="A20">
        <v>2002</v>
      </c>
      <c r="B20" s="1">
        <v>-29.592097711353286</v>
      </c>
      <c r="C20" s="1">
        <v>1.2712506957907266</v>
      </c>
      <c r="D20" s="1">
        <f t="shared" si="0"/>
        <v>-19.149605776867851</v>
      </c>
      <c r="E20" s="1">
        <f t="shared" si="1"/>
        <v>1.9779090187833859</v>
      </c>
      <c r="F20" s="1">
        <v>-19.149605776867851</v>
      </c>
      <c r="H20" t="s">
        <v>4</v>
      </c>
      <c r="I20">
        <v>1</v>
      </c>
      <c r="O20">
        <v>0</v>
      </c>
    </row>
    <row r="21" spans="1:19" ht="15.75" thickBot="1" x14ac:dyDescent="0.3">
      <c r="A21">
        <v>2003</v>
      </c>
      <c r="B21" s="1">
        <v>11.388359776980685</v>
      </c>
      <c r="C21" s="1">
        <v>2.7021659661853548</v>
      </c>
      <c r="D21" s="1">
        <f t="shared" si="0"/>
        <v>-29.592097711353286</v>
      </c>
      <c r="E21" s="1">
        <f t="shared" si="1"/>
        <v>1.2712506957907266</v>
      </c>
      <c r="F21" s="1">
        <v>-29.592097711353286</v>
      </c>
      <c r="H21" s="3" t="s">
        <v>7</v>
      </c>
      <c r="I21" s="3">
        <v>0.22309487098319614</v>
      </c>
      <c r="J21" s="3">
        <v>1</v>
      </c>
    </row>
    <row r="22" spans="1:19" x14ac:dyDescent="0.25">
      <c r="A22">
        <v>2004</v>
      </c>
      <c r="B22" s="1">
        <v>5.8755837366214418</v>
      </c>
      <c r="C22" s="1">
        <v>1.7304359110946521</v>
      </c>
      <c r="D22" s="1">
        <f t="shared" si="0"/>
        <v>11.388359776980685</v>
      </c>
      <c r="E22" s="1">
        <f t="shared" si="1"/>
        <v>2.7021659661853548</v>
      </c>
      <c r="F22" s="1">
        <v>11.388359776980685</v>
      </c>
    </row>
    <row r="23" spans="1:19" x14ac:dyDescent="0.25">
      <c r="A23">
        <v>2005</v>
      </c>
      <c r="B23" s="1">
        <v>13.363609741445979</v>
      </c>
      <c r="C23" s="1">
        <v>2.0658142422290027</v>
      </c>
      <c r="D23" s="1">
        <f t="shared" si="0"/>
        <v>5.8755837366214418</v>
      </c>
      <c r="E23" s="1">
        <f t="shared" si="1"/>
        <v>1.7304359110946521</v>
      </c>
      <c r="F23" s="1">
        <v>5.8755837366214418</v>
      </c>
    </row>
    <row r="24" spans="1:19" x14ac:dyDescent="0.25">
      <c r="A24">
        <v>2006</v>
      </c>
      <c r="B24" s="1">
        <v>7.7223781225381591</v>
      </c>
      <c r="C24" s="1">
        <v>1.4311404383283488</v>
      </c>
      <c r="D24" s="1">
        <f t="shared" si="0"/>
        <v>13.363609741445979</v>
      </c>
      <c r="E24" s="1">
        <f t="shared" si="1"/>
        <v>2.0658142422290027</v>
      </c>
      <c r="F24" s="1">
        <v>13.363609741445979</v>
      </c>
    </row>
    <row r="25" spans="1:19" x14ac:dyDescent="0.25">
      <c r="A25">
        <v>2007</v>
      </c>
      <c r="B25" s="1">
        <v>1.3385195534844021</v>
      </c>
      <c r="C25" s="1">
        <v>2.110115232462384</v>
      </c>
      <c r="D25" s="1">
        <f t="shared" si="0"/>
        <v>7.7223781225381591</v>
      </c>
      <c r="E25" s="1">
        <f t="shared" si="1"/>
        <v>1.4311404383283488</v>
      </c>
      <c r="F25" s="1">
        <v>7.7223781225381591</v>
      </c>
    </row>
    <row r="26" spans="1:19" x14ac:dyDescent="0.25">
      <c r="A26">
        <v>2008</v>
      </c>
      <c r="B26" s="1">
        <v>-41.102296153196839</v>
      </c>
      <c r="C26" s="1">
        <v>-0.83645650664898596</v>
      </c>
      <c r="D26" s="1">
        <f t="shared" si="0"/>
        <v>1.3385195534844021</v>
      </c>
      <c r="E26" s="1">
        <f t="shared" si="1"/>
        <v>2.110115232462384</v>
      </c>
      <c r="F26" s="1">
        <v>1.3385195534844021</v>
      </c>
    </row>
    <row r="27" spans="1:19" x14ac:dyDescent="0.25">
      <c r="A27">
        <v>2009</v>
      </c>
      <c r="B27" s="1">
        <v>17.982353080194457</v>
      </c>
      <c r="C27" s="1">
        <v>-5.4523535240729615</v>
      </c>
      <c r="D27" s="1">
        <f t="shared" si="0"/>
        <v>-41.102296153196839</v>
      </c>
      <c r="E27" s="1">
        <f t="shared" si="1"/>
        <v>-0.83645650664898596</v>
      </c>
      <c r="F27" s="1">
        <v>-41.102296153196839</v>
      </c>
    </row>
    <row r="28" spans="1:19" x14ac:dyDescent="0.25">
      <c r="A28">
        <v>2010</v>
      </c>
      <c r="B28" s="1">
        <v>6.1234335405386702</v>
      </c>
      <c r="C28" s="1">
        <v>1.4514842914740811</v>
      </c>
      <c r="D28" s="1">
        <f t="shared" si="0"/>
        <v>17.982353080194457</v>
      </c>
      <c r="E28" s="1">
        <f t="shared" si="1"/>
        <v>-5.4523535240729615</v>
      </c>
      <c r="F28" s="1">
        <v>17.982353080194457</v>
      </c>
    </row>
    <row r="29" spans="1:19" x14ac:dyDescent="0.25">
      <c r="A29">
        <v>2011</v>
      </c>
      <c r="B29" s="1">
        <v>-9.5698999925433217</v>
      </c>
      <c r="C29" s="1">
        <v>6.632689005421355E-2</v>
      </c>
      <c r="D29" s="1">
        <f t="shared" si="0"/>
        <v>6.1234335405386702</v>
      </c>
      <c r="E29" s="1">
        <f t="shared" si="1"/>
        <v>1.4514842914740811</v>
      </c>
      <c r="F29" s="1">
        <v>6.1234335405386702</v>
      </c>
    </row>
    <row r="30" spans="1:19" x14ac:dyDescent="0.25">
      <c r="A30">
        <v>2012</v>
      </c>
      <c r="B30" s="1">
        <v>3.1044441687515061</v>
      </c>
      <c r="C30" s="1">
        <v>0.80441751234783254</v>
      </c>
      <c r="D30" s="1">
        <f t="shared" si="0"/>
        <v>-9.5698999925433217</v>
      </c>
      <c r="E30" s="1">
        <f t="shared" si="1"/>
        <v>6.632689005421355E-2</v>
      </c>
      <c r="F30" s="1">
        <v>-9.5698999925433217</v>
      </c>
    </row>
    <row r="31" spans="1:19" x14ac:dyDescent="0.25">
      <c r="A31">
        <v>2013</v>
      </c>
      <c r="B31" s="1">
        <v>11.19099187503684</v>
      </c>
      <c r="C31" s="1">
        <v>1.034333823882605</v>
      </c>
      <c r="D31" s="1">
        <f t="shared" si="0"/>
        <v>3.1044441687515061</v>
      </c>
      <c r="E31" s="1">
        <f t="shared" si="1"/>
        <v>0.80441751234783254</v>
      </c>
      <c r="F31" s="1">
        <v>3.1044441687515061</v>
      </c>
    </row>
    <row r="32" spans="1:19" x14ac:dyDescent="0.25">
      <c r="A32">
        <v>2014</v>
      </c>
      <c r="B32" s="1">
        <v>-4.2000356649830213</v>
      </c>
      <c r="C32" s="1">
        <v>2.3641319871586575</v>
      </c>
      <c r="D32" s="1">
        <f t="shared" si="0"/>
        <v>11.19099187503684</v>
      </c>
      <c r="E32" s="1">
        <f t="shared" si="1"/>
        <v>1.034333823882605</v>
      </c>
      <c r="F32" s="1">
        <v>11.19099187503684</v>
      </c>
    </row>
    <row r="33" spans="1:19" x14ac:dyDescent="0.25">
      <c r="A33">
        <v>2015</v>
      </c>
      <c r="B33" s="1">
        <v>-5.4247086229496988</v>
      </c>
      <c r="C33" s="1">
        <v>1.396196621721657</v>
      </c>
      <c r="D33" s="1">
        <f t="shared" si="0"/>
        <v>-4.2000356649830213</v>
      </c>
      <c r="E33" s="1">
        <f t="shared" si="1"/>
        <v>2.3641319871586575</v>
      </c>
      <c r="F33" s="1">
        <v>-4.2000356649830213</v>
      </c>
    </row>
    <row r="34" spans="1:19" x14ac:dyDescent="0.25">
      <c r="A34">
        <v>2016</v>
      </c>
      <c r="B34" s="1">
        <v>12.467297452992776</v>
      </c>
      <c r="C34" s="1">
        <v>1.3883091094882616</v>
      </c>
      <c r="D34" s="1">
        <f t="shared" si="0"/>
        <v>-5.4247086229496988</v>
      </c>
      <c r="E34" s="1">
        <f t="shared" si="1"/>
        <v>1.396196621721657</v>
      </c>
      <c r="F34" s="1">
        <v>-5.4247086229496988</v>
      </c>
    </row>
    <row r="35" spans="1:19" x14ac:dyDescent="0.25">
      <c r="A35">
        <v>2017</v>
      </c>
      <c r="B35" s="1">
        <v>4.7944140345705426</v>
      </c>
      <c r="C35" s="1">
        <v>2.432717486573388</v>
      </c>
      <c r="D35" s="1">
        <f t="shared" si="0"/>
        <v>12.467297452992776</v>
      </c>
      <c r="E35" s="1">
        <f t="shared" si="1"/>
        <v>1.3883091094882616</v>
      </c>
      <c r="F35" s="1">
        <v>12.467297452992776</v>
      </c>
    </row>
    <row r="36" spans="1:19" x14ac:dyDescent="0.25">
      <c r="A36">
        <v>2018</v>
      </c>
      <c r="B36" s="1">
        <v>-15.626190878227824</v>
      </c>
      <c r="C36" s="1">
        <v>1.0509695178908984</v>
      </c>
      <c r="D36" s="1">
        <f t="shared" si="0"/>
        <v>4.7944140345705426</v>
      </c>
      <c r="E36" s="1">
        <f t="shared" si="1"/>
        <v>2.432717486573388</v>
      </c>
      <c r="F36" s="1">
        <v>4.7944140345705426</v>
      </c>
    </row>
    <row r="37" spans="1:19" x14ac:dyDescent="0.25">
      <c r="A37">
        <v>2019</v>
      </c>
      <c r="B37" s="1">
        <v>9.6867446369270152</v>
      </c>
      <c r="C37" s="1">
        <v>0.73387665771047494</v>
      </c>
      <c r="D37" s="1">
        <f t="shared" si="0"/>
        <v>-15.626190878227824</v>
      </c>
      <c r="E37" s="1">
        <f t="shared" si="1"/>
        <v>1.0509695178908984</v>
      </c>
      <c r="F37" s="1">
        <v>-15.626190878227824</v>
      </c>
    </row>
    <row r="38" spans="1:19" x14ac:dyDescent="0.25">
      <c r="A38">
        <v>2020</v>
      </c>
      <c r="B38" s="1">
        <v>-16.473079422408489</v>
      </c>
      <c r="C38" s="1">
        <v>-10.758731306144043</v>
      </c>
      <c r="D38" s="1">
        <f t="shared" si="0"/>
        <v>9.6867446369270152</v>
      </c>
      <c r="E38" s="1">
        <f t="shared" si="1"/>
        <v>0.73387665771047494</v>
      </c>
      <c r="F38" s="1">
        <v>9.6867446369270152</v>
      </c>
    </row>
    <row r="39" spans="1:19" x14ac:dyDescent="0.25">
      <c r="A39">
        <v>2021</v>
      </c>
      <c r="B39" s="1">
        <v>10.84951047484692</v>
      </c>
      <c r="C39" s="1">
        <v>7.8387872966315442</v>
      </c>
      <c r="D39" s="1">
        <f t="shared" si="0"/>
        <v>-16.473079422408489</v>
      </c>
      <c r="E39" s="1">
        <f t="shared" si="1"/>
        <v>-10.758731306144043</v>
      </c>
      <c r="F39" s="1">
        <v>-16.473079422408489</v>
      </c>
    </row>
    <row r="40" spans="1:19" x14ac:dyDescent="0.25">
      <c r="A40">
        <v>2022</v>
      </c>
      <c r="B40" s="1">
        <v>-7.0161551767405212</v>
      </c>
      <c r="C40" s="1">
        <v>4.1001532045157774</v>
      </c>
      <c r="D40" s="1">
        <f t="shared" si="0"/>
        <v>10.84951047484692</v>
      </c>
      <c r="E40" s="1">
        <f t="shared" si="1"/>
        <v>7.8387872966315442</v>
      </c>
      <c r="F40" s="1">
        <v>10.84951047484692</v>
      </c>
    </row>
    <row r="41" spans="1:19" x14ac:dyDescent="0.25">
      <c r="A41">
        <v>2023</v>
      </c>
      <c r="B41" s="1">
        <v>-3.0859311881836193</v>
      </c>
      <c r="C41" s="1">
        <v>-1.0336979766186971</v>
      </c>
      <c r="D41" s="1">
        <f t="shared" si="0"/>
        <v>-7.0161551767405212</v>
      </c>
      <c r="E41" s="1">
        <f t="shared" si="1"/>
        <v>4.1001532045157774</v>
      </c>
      <c r="F41" s="1">
        <v>-7.0161551767405212</v>
      </c>
      <c r="H41" t="s">
        <v>57</v>
      </c>
    </row>
    <row r="42" spans="1:19" x14ac:dyDescent="0.25">
      <c r="A42">
        <v>2024</v>
      </c>
      <c r="B42" s="1">
        <v>2.2594835183455757</v>
      </c>
      <c r="C42" s="1">
        <v>5.4169325261455015E-2</v>
      </c>
      <c r="D42" s="1">
        <f t="shared" si="0"/>
        <v>-3.0859311881836193</v>
      </c>
      <c r="E42" s="1">
        <f t="shared" si="1"/>
        <v>-1.0336979766186971</v>
      </c>
      <c r="F42" s="1">
        <v>-3.0859311881836193</v>
      </c>
      <c r="H42" t="s">
        <v>27</v>
      </c>
      <c r="K42" t="s">
        <v>52</v>
      </c>
    </row>
    <row r="43" spans="1:19" ht="15.75" thickBot="1" x14ac:dyDescent="0.3">
      <c r="F43" s="1"/>
      <c r="K43" t="s">
        <v>53</v>
      </c>
    </row>
    <row r="44" spans="1:19" x14ac:dyDescent="0.25">
      <c r="H44" s="7" t="s">
        <v>28</v>
      </c>
      <c r="I44" s="7"/>
      <c r="R44" s="21"/>
      <c r="S44" s="21"/>
    </row>
    <row r="45" spans="1:19" x14ac:dyDescent="0.25">
      <c r="H45" t="s">
        <v>29</v>
      </c>
      <c r="I45">
        <v>0.22309487098319605</v>
      </c>
    </row>
    <row r="46" spans="1:19" x14ac:dyDescent="0.25">
      <c r="H46" t="s">
        <v>30</v>
      </c>
      <c r="I46">
        <v>4.9771321459008894E-2</v>
      </c>
    </row>
    <row r="47" spans="1:19" x14ac:dyDescent="0.25">
      <c r="H47" t="s">
        <v>31</v>
      </c>
      <c r="I47">
        <v>2.4765303602667019E-2</v>
      </c>
    </row>
    <row r="48" spans="1:19" x14ac:dyDescent="0.25">
      <c r="H48" t="s">
        <v>10</v>
      </c>
      <c r="I48">
        <v>2.9083736894289833</v>
      </c>
    </row>
    <row r="49" spans="8:26" ht="15.75" thickBot="1" x14ac:dyDescent="0.3">
      <c r="H49" s="3" t="s">
        <v>32</v>
      </c>
      <c r="I49" s="3">
        <v>40</v>
      </c>
    </row>
    <row r="51" spans="8:26" ht="15.75" thickBot="1" x14ac:dyDescent="0.3">
      <c r="H51" t="s">
        <v>33</v>
      </c>
    </row>
    <row r="52" spans="8:26" x14ac:dyDescent="0.25">
      <c r="H52" s="4"/>
      <c r="I52" s="4" t="s">
        <v>38</v>
      </c>
      <c r="J52" s="4" t="s">
        <v>39</v>
      </c>
      <c r="K52" s="4" t="s">
        <v>40</v>
      </c>
      <c r="L52" s="4" t="s">
        <v>41</v>
      </c>
      <c r="M52" s="4" t="s">
        <v>42</v>
      </c>
      <c r="R52" s="6"/>
      <c r="S52" s="6"/>
      <c r="T52" s="6"/>
      <c r="U52" s="6"/>
      <c r="V52" s="6"/>
      <c r="W52" s="6"/>
    </row>
    <row r="53" spans="8:26" x14ac:dyDescent="0.25">
      <c r="H53" t="s">
        <v>34</v>
      </c>
      <c r="I53">
        <v>1</v>
      </c>
      <c r="J53">
        <v>16.835850050195972</v>
      </c>
      <c r="K53">
        <v>16.835850050195972</v>
      </c>
      <c r="L53">
        <v>1.9903737470293055</v>
      </c>
      <c r="M53">
        <v>0.1664364079050743</v>
      </c>
    </row>
    <row r="54" spans="8:26" x14ac:dyDescent="0.25">
      <c r="H54" t="s">
        <v>35</v>
      </c>
      <c r="I54">
        <v>38</v>
      </c>
      <c r="J54">
        <v>321.42822565978474</v>
      </c>
      <c r="K54">
        <v>8.4586375173627566</v>
      </c>
    </row>
    <row r="55" spans="8:26" ht="15.75" thickBot="1" x14ac:dyDescent="0.3">
      <c r="H55" s="3" t="s">
        <v>36</v>
      </c>
      <c r="I55" s="3">
        <v>39</v>
      </c>
      <c r="J55" s="3">
        <v>338.26407570998072</v>
      </c>
      <c r="K55" s="3"/>
      <c r="L55" s="3"/>
      <c r="M55" s="3"/>
    </row>
    <row r="56" spans="8:26" ht="15.75" thickBot="1" x14ac:dyDescent="0.3"/>
    <row r="57" spans="8:26" x14ac:dyDescent="0.25">
      <c r="H57" s="4"/>
      <c r="I57" s="4" t="s">
        <v>43</v>
      </c>
      <c r="J57" s="4" t="s">
        <v>10</v>
      </c>
      <c r="K57" s="4" t="s">
        <v>44</v>
      </c>
      <c r="L57" s="4" t="s">
        <v>45</v>
      </c>
      <c r="M57" s="4" t="s">
        <v>46</v>
      </c>
      <c r="N57" s="4" t="s">
        <v>47</v>
      </c>
      <c r="O57" s="4" t="s">
        <v>48</v>
      </c>
      <c r="P57" s="4" t="s">
        <v>49</v>
      </c>
      <c r="R57" s="6"/>
      <c r="S57" s="6"/>
      <c r="T57" s="6"/>
      <c r="U57" s="6"/>
      <c r="V57" s="6"/>
      <c r="W57" s="6"/>
      <c r="X57" s="6"/>
      <c r="Y57" s="6"/>
      <c r="Z57" s="6"/>
    </row>
    <row r="58" spans="8:26" x14ac:dyDescent="0.25">
      <c r="H58" t="s">
        <v>37</v>
      </c>
      <c r="I58">
        <v>1.5342797278069877</v>
      </c>
      <c r="J58">
        <v>0.46458240827065883</v>
      </c>
      <c r="K58">
        <v>3.3024920885793398</v>
      </c>
      <c r="L58">
        <v>2.0935972155593434E-3</v>
      </c>
      <c r="M58">
        <v>0.59378181184769774</v>
      </c>
      <c r="N58">
        <v>2.4747776437662776</v>
      </c>
      <c r="O58">
        <v>0.59378181184769774</v>
      </c>
      <c r="P58">
        <v>2.4747776437662776</v>
      </c>
    </row>
    <row r="59" spans="8:26" ht="15.75" thickBot="1" x14ac:dyDescent="0.3">
      <c r="H59" s="3" t="s">
        <v>7</v>
      </c>
      <c r="I59" s="3">
        <v>4.5755631906841218E-2</v>
      </c>
      <c r="J59" s="3">
        <v>3.2432262031662377E-2</v>
      </c>
      <c r="K59" s="3">
        <v>1.4108060628694892</v>
      </c>
      <c r="L59" s="3">
        <v>0.1664364079050738</v>
      </c>
      <c r="M59" s="3">
        <v>-1.9900050072519881E-2</v>
      </c>
      <c r="N59" s="3">
        <v>0.11141131388620232</v>
      </c>
      <c r="O59" s="3">
        <v>-1.9900050072519881E-2</v>
      </c>
      <c r="P59" s="3">
        <v>0.11141131388620232</v>
      </c>
    </row>
    <row r="63" spans="8:26" x14ac:dyDescent="0.25">
      <c r="H63" t="s">
        <v>58</v>
      </c>
    </row>
    <row r="64" spans="8:26" x14ac:dyDescent="0.25">
      <c r="H64" t="s">
        <v>27</v>
      </c>
      <c r="K64" t="s">
        <v>52</v>
      </c>
    </row>
    <row r="65" spans="8:16" ht="15.75" thickBot="1" x14ac:dyDescent="0.3">
      <c r="K65" t="s">
        <v>60</v>
      </c>
    </row>
    <row r="66" spans="8:16" x14ac:dyDescent="0.25">
      <c r="H66" s="7" t="s">
        <v>28</v>
      </c>
      <c r="I66" s="7"/>
      <c r="K66" t="s">
        <v>53</v>
      </c>
    </row>
    <row r="67" spans="8:16" x14ac:dyDescent="0.25">
      <c r="H67" t="s">
        <v>29</v>
      </c>
      <c r="I67">
        <v>0.22438008485518607</v>
      </c>
    </row>
    <row r="68" spans="8:16" x14ac:dyDescent="0.25">
      <c r="H68" t="s">
        <v>30</v>
      </c>
      <c r="I68">
        <v>5.0346422479620498E-2</v>
      </c>
    </row>
    <row r="69" spans="8:16" x14ac:dyDescent="0.25">
      <c r="H69" t="s">
        <v>31</v>
      </c>
      <c r="I69">
        <v>-9.8620333229190791E-4</v>
      </c>
    </row>
    <row r="70" spans="8:16" x14ac:dyDescent="0.25">
      <c r="H70" t="s">
        <v>10</v>
      </c>
      <c r="I70">
        <v>2.9465219517282444</v>
      </c>
    </row>
    <row r="71" spans="8:16" ht="15.75" thickBot="1" x14ac:dyDescent="0.3">
      <c r="H71" s="3" t="s">
        <v>32</v>
      </c>
      <c r="I71" s="3">
        <v>40</v>
      </c>
    </row>
    <row r="73" spans="8:16" ht="15.75" thickBot="1" x14ac:dyDescent="0.3">
      <c r="H73" t="s">
        <v>33</v>
      </c>
    </row>
    <row r="74" spans="8:16" x14ac:dyDescent="0.25">
      <c r="H74" s="4"/>
      <c r="I74" s="4" t="s">
        <v>38</v>
      </c>
      <c r="J74" s="4" t="s">
        <v>39</v>
      </c>
      <c r="K74" s="4" t="s">
        <v>40</v>
      </c>
      <c r="L74" s="4" t="s">
        <v>41</v>
      </c>
      <c r="M74" s="4" t="s">
        <v>42</v>
      </c>
    </row>
    <row r="75" spans="8:16" x14ac:dyDescent="0.25">
      <c r="H75" t="s">
        <v>34</v>
      </c>
      <c r="I75">
        <v>2</v>
      </c>
      <c r="J75">
        <v>17.030386065373023</v>
      </c>
      <c r="K75">
        <v>8.5151930326865113</v>
      </c>
      <c r="L75">
        <v>0.98078798197650263</v>
      </c>
      <c r="M75">
        <v>0.38455313833857041</v>
      </c>
    </row>
    <row r="76" spans="8:16" x14ac:dyDescent="0.25">
      <c r="H76" t="s">
        <v>35</v>
      </c>
      <c r="I76">
        <v>37</v>
      </c>
      <c r="J76">
        <v>321.23368964460769</v>
      </c>
      <c r="K76">
        <v>8.6819916120164233</v>
      </c>
    </row>
    <row r="77" spans="8:16" ht="15.75" thickBot="1" x14ac:dyDescent="0.3">
      <c r="H77" s="3" t="s">
        <v>36</v>
      </c>
      <c r="I77" s="3">
        <v>39</v>
      </c>
      <c r="J77" s="3">
        <v>338.26407570998072</v>
      </c>
      <c r="K77" s="3"/>
      <c r="L77" s="3"/>
      <c r="M77" s="3"/>
    </row>
    <row r="78" spans="8:16" ht="15.75" thickBot="1" x14ac:dyDescent="0.3"/>
    <row r="79" spans="8:16" x14ac:dyDescent="0.25">
      <c r="H79" s="4"/>
      <c r="I79" s="4" t="s">
        <v>43</v>
      </c>
      <c r="J79" s="4" t="s">
        <v>10</v>
      </c>
      <c r="K79" s="4" t="s">
        <v>44</v>
      </c>
      <c r="L79" s="4" t="s">
        <v>45</v>
      </c>
      <c r="M79" s="4" t="s">
        <v>46</v>
      </c>
      <c r="N79" s="4" t="s">
        <v>47</v>
      </c>
      <c r="O79" s="4" t="s">
        <v>48</v>
      </c>
      <c r="P79" s="4" t="s">
        <v>49</v>
      </c>
    </row>
    <row r="80" spans="8:16" x14ac:dyDescent="0.25">
      <c r="H80" t="s">
        <v>37</v>
      </c>
      <c r="I80">
        <v>1.5736243005935946</v>
      </c>
      <c r="J80">
        <v>0.53909360679355278</v>
      </c>
      <c r="K80">
        <v>2.919018665335829</v>
      </c>
      <c r="L80">
        <v>5.9444307577733542E-3</v>
      </c>
      <c r="M80">
        <v>0.48131689764131869</v>
      </c>
      <c r="N80">
        <v>2.6659317035458705</v>
      </c>
      <c r="O80">
        <v>0.48131689764131869</v>
      </c>
      <c r="P80">
        <v>2.6659317035458705</v>
      </c>
    </row>
    <row r="81" spans="8:16" x14ac:dyDescent="0.25">
      <c r="H81" t="s">
        <v>7</v>
      </c>
      <c r="I81">
        <v>4.6934699104865786E-2</v>
      </c>
      <c r="J81">
        <v>3.3788603936659237E-2</v>
      </c>
      <c r="K81">
        <v>1.389068905979379</v>
      </c>
      <c r="L81">
        <v>0.17311621895894197</v>
      </c>
      <c r="M81">
        <v>-2.1527515527868905E-2</v>
      </c>
      <c r="N81">
        <v>0.11539691373760047</v>
      </c>
      <c r="O81">
        <v>-2.1527515527868905E-2</v>
      </c>
      <c r="P81">
        <v>0.11539691373760047</v>
      </c>
    </row>
    <row r="82" spans="8:16" ht="15.75" thickBot="1" x14ac:dyDescent="0.3">
      <c r="H82" s="3" t="s">
        <v>8</v>
      </c>
      <c r="I82" s="3">
        <v>-2.4730254022253827E-2</v>
      </c>
      <c r="J82" s="3">
        <v>0.16521073010835211</v>
      </c>
      <c r="K82" s="3">
        <v>-0.14968915158255577</v>
      </c>
      <c r="L82" s="3">
        <v>0.88182285807607441</v>
      </c>
      <c r="M82" s="3">
        <v>-0.35947899017933349</v>
      </c>
      <c r="N82" s="3">
        <v>0.31001848213482586</v>
      </c>
      <c r="O82" s="3">
        <v>-0.35947899017933349</v>
      </c>
      <c r="P82" s="3">
        <v>0.31001848213482586</v>
      </c>
    </row>
  </sheetData>
  <conditionalFormatting sqref="A1:C1 F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1D25-066A-4DCB-891D-020A4A915C60}">
  <dimension ref="A1:S81"/>
  <sheetViews>
    <sheetView topLeftCell="A6" zoomScale="106" zoomScaleNormal="70" workbookViewId="0">
      <selection activeCell="B1" sqref="B1:C35"/>
    </sheetView>
  </sheetViews>
  <sheetFormatPr defaultRowHeight="15" x14ac:dyDescent="0.25"/>
  <cols>
    <col min="1" max="1" width="10" customWidth="1"/>
    <col min="2" max="5" width="12.85546875" customWidth="1"/>
    <col min="8" max="8" width="18.5703125" customWidth="1"/>
    <col min="9" max="9" width="13" customWidth="1"/>
    <col min="10" max="10" width="18.7109375" customWidth="1"/>
    <col min="11" max="11" width="13" customWidth="1"/>
    <col min="12" max="12" width="18.7109375" customWidth="1"/>
    <col min="13" max="13" width="13" customWidth="1"/>
    <col min="14" max="14" width="11.5703125" customWidth="1"/>
    <col min="15" max="15" width="13" customWidth="1"/>
    <col min="18" max="18" width="11.5703125" customWidth="1"/>
    <col min="19" max="19" width="13" customWidth="1"/>
  </cols>
  <sheetData>
    <row r="1" spans="1:19" ht="15.75" thickBot="1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</row>
    <row r="2" spans="1:19" x14ac:dyDescent="0.25">
      <c r="A2">
        <v>1991</v>
      </c>
      <c r="B2" s="1">
        <v>79.477340820989653</v>
      </c>
      <c r="C2" s="1">
        <v>7.5846230668753734</v>
      </c>
      <c r="H2" s="4" t="s">
        <v>1</v>
      </c>
      <c r="I2" s="4"/>
      <c r="J2" s="4" t="s">
        <v>2</v>
      </c>
      <c r="K2" s="4"/>
      <c r="L2" s="6"/>
      <c r="M2" s="6"/>
      <c r="N2" s="6"/>
      <c r="O2" s="6"/>
    </row>
    <row r="3" spans="1:19" x14ac:dyDescent="0.25">
      <c r="A3">
        <v>1992</v>
      </c>
      <c r="B3" s="1">
        <v>91.693497884497546</v>
      </c>
      <c r="C3" s="1">
        <v>12.139761827848261</v>
      </c>
      <c r="D3" s="1">
        <f>B2</f>
        <v>79.477340820989653</v>
      </c>
      <c r="E3" s="1">
        <f>C2</f>
        <v>7.5846230668753734</v>
      </c>
      <c r="N3" t="s">
        <v>1</v>
      </c>
      <c r="O3" t="s">
        <v>26</v>
      </c>
      <c r="R3" t="s">
        <v>2</v>
      </c>
      <c r="S3" t="s">
        <v>26</v>
      </c>
    </row>
    <row r="4" spans="1:19" x14ac:dyDescent="0.25">
      <c r="A4">
        <v>1993</v>
      </c>
      <c r="B4" s="1">
        <v>-7.9901015635194295</v>
      </c>
      <c r="C4" s="1">
        <v>11.890975181847185</v>
      </c>
      <c r="D4" s="1">
        <f t="shared" ref="D4:D35" si="0">B3</f>
        <v>91.693497884497546</v>
      </c>
      <c r="E4" s="1">
        <f t="shared" ref="E4:E35" si="1">C3</f>
        <v>12.139761827848261</v>
      </c>
      <c r="H4" t="s">
        <v>9</v>
      </c>
      <c r="I4">
        <v>5.9377313131986869</v>
      </c>
      <c r="J4" t="s">
        <v>9</v>
      </c>
      <c r="K4">
        <v>7.8253478969367736</v>
      </c>
      <c r="N4">
        <v>-120</v>
      </c>
      <c r="O4" cm="1">
        <f t="array" ref="O4:O17">FREQUENCY(B2:B35,N4:N16)</f>
        <v>0</v>
      </c>
      <c r="R4">
        <v>0</v>
      </c>
      <c r="S4" cm="1">
        <f t="array" ref="S4:S13">FREQUENCY(C2:C35,R4:R12)</f>
        <v>0</v>
      </c>
    </row>
    <row r="5" spans="1:19" x14ac:dyDescent="0.25">
      <c r="A5">
        <v>1994</v>
      </c>
      <c r="B5" s="1">
        <v>-49.487340374807246</v>
      </c>
      <c r="C5" s="1">
        <v>11.155826340317621</v>
      </c>
      <c r="D5" s="1">
        <f t="shared" si="0"/>
        <v>-7.9901015635194295</v>
      </c>
      <c r="E5" s="1">
        <f t="shared" si="1"/>
        <v>11.890975181847185</v>
      </c>
      <c r="H5" t="s">
        <v>10</v>
      </c>
      <c r="I5">
        <v>6.9909275430826705</v>
      </c>
      <c r="J5" t="s">
        <v>10</v>
      </c>
      <c r="K5">
        <v>0.41513001674680988</v>
      </c>
      <c r="N5">
        <v>-100</v>
      </c>
      <c r="O5">
        <v>1</v>
      </c>
      <c r="R5">
        <v>2.5</v>
      </c>
      <c r="S5">
        <v>1</v>
      </c>
    </row>
    <row r="6" spans="1:19" x14ac:dyDescent="0.25">
      <c r="A6">
        <v>1995</v>
      </c>
      <c r="B6" s="1">
        <v>-32.211181079130085</v>
      </c>
      <c r="C6" s="1">
        <v>9.3790485144275237</v>
      </c>
      <c r="D6" s="1">
        <f t="shared" si="0"/>
        <v>-49.487340374807246</v>
      </c>
      <c r="E6" s="1">
        <f t="shared" si="1"/>
        <v>11.155826340317621</v>
      </c>
      <c r="H6" t="s">
        <v>11</v>
      </c>
      <c r="I6">
        <v>2.1040561147305592</v>
      </c>
      <c r="J6" t="s">
        <v>11</v>
      </c>
      <c r="K6">
        <v>7.7212454851379064</v>
      </c>
      <c r="N6">
        <v>-80</v>
      </c>
      <c r="O6">
        <v>0</v>
      </c>
      <c r="R6">
        <v>5</v>
      </c>
      <c r="S6">
        <v>2</v>
      </c>
    </row>
    <row r="7" spans="1:19" x14ac:dyDescent="0.25">
      <c r="A7">
        <v>1996</v>
      </c>
      <c r="B7" s="1">
        <v>41.850499859855965</v>
      </c>
      <c r="C7" s="1">
        <v>8.4612376894180663</v>
      </c>
      <c r="D7" s="1">
        <f t="shared" si="0"/>
        <v>-32.211181079130085</v>
      </c>
      <c r="E7" s="1">
        <f t="shared" si="1"/>
        <v>9.3790485144275237</v>
      </c>
      <c r="H7" t="s">
        <v>12</v>
      </c>
      <c r="I7" t="e">
        <v>#N/A</v>
      </c>
      <c r="J7" t="s">
        <v>12</v>
      </c>
      <c r="K7" t="e">
        <v>#N/A</v>
      </c>
      <c r="N7">
        <v>-60</v>
      </c>
      <c r="O7">
        <v>0</v>
      </c>
      <c r="R7">
        <v>7.5</v>
      </c>
      <c r="S7">
        <v>13</v>
      </c>
    </row>
    <row r="8" spans="1:19" x14ac:dyDescent="0.25">
      <c r="A8">
        <v>1997</v>
      </c>
      <c r="B8" s="1">
        <v>23.61562906965996</v>
      </c>
      <c r="C8" s="1">
        <v>7.8578679034004395</v>
      </c>
      <c r="D8" s="1">
        <f t="shared" si="0"/>
        <v>41.850499859855965</v>
      </c>
      <c r="E8" s="1">
        <f t="shared" si="1"/>
        <v>8.4612376894180663</v>
      </c>
      <c r="H8" t="s">
        <v>13</v>
      </c>
      <c r="I8">
        <v>40.763762204064101</v>
      </c>
      <c r="J8" t="s">
        <v>13</v>
      </c>
      <c r="K8">
        <v>2.4206031577569727</v>
      </c>
      <c r="N8">
        <v>-40</v>
      </c>
      <c r="O8">
        <v>1</v>
      </c>
      <c r="R8">
        <v>10</v>
      </c>
      <c r="S8">
        <v>12</v>
      </c>
    </row>
    <row r="9" spans="1:19" x14ac:dyDescent="0.25">
      <c r="A9">
        <v>1998</v>
      </c>
      <c r="B9" s="1">
        <v>-3.2772651379586319</v>
      </c>
      <c r="C9" s="1">
        <v>6.6631861326085229</v>
      </c>
      <c r="D9" s="1">
        <f t="shared" si="0"/>
        <v>23.61562906965996</v>
      </c>
      <c r="E9" s="1">
        <f t="shared" si="1"/>
        <v>7.8578679034004395</v>
      </c>
      <c r="H9" t="s">
        <v>14</v>
      </c>
      <c r="I9">
        <v>1661.6843090294849</v>
      </c>
      <c r="J9" t="s">
        <v>14</v>
      </c>
      <c r="K9">
        <v>5.8593196473430273</v>
      </c>
      <c r="N9">
        <v>-20</v>
      </c>
      <c r="O9">
        <v>5</v>
      </c>
      <c r="R9">
        <v>12.5</v>
      </c>
      <c r="S9">
        <v>5</v>
      </c>
    </row>
    <row r="10" spans="1:19" x14ac:dyDescent="0.25">
      <c r="A10">
        <v>1999</v>
      </c>
      <c r="B10" s="1">
        <v>18.943774316273743</v>
      </c>
      <c r="C10" s="1">
        <v>6.5864400520244892</v>
      </c>
      <c r="D10" s="1">
        <f t="shared" si="0"/>
        <v>-3.2772651379586319</v>
      </c>
      <c r="E10" s="1">
        <f t="shared" si="1"/>
        <v>6.6631861326085229</v>
      </c>
      <c r="H10" t="s">
        <v>15</v>
      </c>
      <c r="I10">
        <v>1.3330342572372138</v>
      </c>
      <c r="J10" t="s">
        <v>15</v>
      </c>
      <c r="K10">
        <v>0.19644611136660606</v>
      </c>
      <c r="N10">
        <v>0</v>
      </c>
      <c r="O10">
        <v>9</v>
      </c>
      <c r="R10">
        <v>15</v>
      </c>
      <c r="S10">
        <v>1</v>
      </c>
    </row>
    <row r="11" spans="1:19" x14ac:dyDescent="0.25">
      <c r="A11">
        <v>2000</v>
      </c>
      <c r="B11" s="1">
        <v>41.343752762099975</v>
      </c>
      <c r="C11" s="1">
        <v>7.449671240037592</v>
      </c>
      <c r="D11" s="1">
        <f t="shared" si="0"/>
        <v>18.943774316273743</v>
      </c>
      <c r="E11" s="1">
        <f t="shared" si="1"/>
        <v>6.5864400520244892</v>
      </c>
      <c r="H11" t="s">
        <v>16</v>
      </c>
      <c r="I11">
        <v>-6.0880717772764339E-2</v>
      </c>
      <c r="J11" t="s">
        <v>16</v>
      </c>
      <c r="K11">
        <v>9.4132678897945157E-5</v>
      </c>
      <c r="N11">
        <v>20</v>
      </c>
      <c r="O11">
        <v>9</v>
      </c>
      <c r="R11">
        <v>17.5</v>
      </c>
      <c r="S11">
        <v>0</v>
      </c>
    </row>
    <row r="12" spans="1:19" x14ac:dyDescent="0.25">
      <c r="A12">
        <v>2001</v>
      </c>
      <c r="B12" s="1">
        <v>-23.808768074740421</v>
      </c>
      <c r="C12" s="1">
        <v>7.2587857240463016</v>
      </c>
      <c r="D12" s="1">
        <f t="shared" si="0"/>
        <v>41.343752762099975</v>
      </c>
      <c r="E12" s="1">
        <f t="shared" si="1"/>
        <v>7.449671240037592</v>
      </c>
      <c r="H12" t="s">
        <v>17</v>
      </c>
      <c r="I12">
        <v>203.73369124560688</v>
      </c>
      <c r="J12" t="s">
        <v>17</v>
      </c>
      <c r="K12">
        <v>10.636849134353987</v>
      </c>
      <c r="N12">
        <v>40</v>
      </c>
      <c r="O12">
        <v>1</v>
      </c>
      <c r="R12">
        <v>20</v>
      </c>
      <c r="S12">
        <v>0</v>
      </c>
    </row>
    <row r="13" spans="1:19" x14ac:dyDescent="0.25">
      <c r="A13">
        <v>2002</v>
      </c>
      <c r="B13" s="1">
        <v>-18.525256438489322</v>
      </c>
      <c r="C13" s="1">
        <v>8.170817694717325</v>
      </c>
      <c r="D13" s="1">
        <f t="shared" si="0"/>
        <v>-23.808768074740421</v>
      </c>
      <c r="E13" s="1">
        <f t="shared" si="1"/>
        <v>7.2587857240463016</v>
      </c>
      <c r="H13" t="s">
        <v>18</v>
      </c>
      <c r="I13">
        <v>-112.04019336110933</v>
      </c>
      <c r="J13" t="s">
        <v>18</v>
      </c>
      <c r="K13">
        <v>2.0751849908078768</v>
      </c>
      <c r="N13">
        <v>60</v>
      </c>
      <c r="O13">
        <v>4</v>
      </c>
      <c r="S13">
        <v>0</v>
      </c>
    </row>
    <row r="14" spans="1:19" x14ac:dyDescent="0.25">
      <c r="A14">
        <v>2003</v>
      </c>
      <c r="B14" s="1">
        <v>8.6458252027896698</v>
      </c>
      <c r="C14" s="1">
        <v>9.015547418381864</v>
      </c>
      <c r="D14" s="1">
        <f t="shared" si="0"/>
        <v>-18.525256438489322</v>
      </c>
      <c r="E14" s="1">
        <f t="shared" si="1"/>
        <v>8.170817694717325</v>
      </c>
      <c r="H14" t="s">
        <v>19</v>
      </c>
      <c r="I14">
        <v>91.693497884497546</v>
      </c>
      <c r="J14" t="s">
        <v>19</v>
      </c>
      <c r="K14">
        <v>12.712034125161864</v>
      </c>
      <c r="N14">
        <v>80</v>
      </c>
      <c r="O14">
        <v>2</v>
      </c>
    </row>
    <row r="15" spans="1:19" x14ac:dyDescent="0.25">
      <c r="A15">
        <v>2004</v>
      </c>
      <c r="B15" s="1">
        <v>-20.548483928963424</v>
      </c>
      <c r="C15" s="1">
        <v>9.056475106341022</v>
      </c>
      <c r="D15" s="1">
        <f t="shared" si="0"/>
        <v>8.6458252027896698</v>
      </c>
      <c r="E15" s="1">
        <f t="shared" si="1"/>
        <v>9.015547418381864</v>
      </c>
      <c r="H15" t="s">
        <v>20</v>
      </c>
      <c r="I15">
        <v>201.88286464875534</v>
      </c>
      <c r="J15" t="s">
        <v>20</v>
      </c>
      <c r="K15">
        <v>266.06182849585031</v>
      </c>
      <c r="N15">
        <v>100</v>
      </c>
      <c r="O15">
        <v>2</v>
      </c>
    </row>
    <row r="16" spans="1:19" ht="15.75" thickBot="1" x14ac:dyDescent="0.3">
      <c r="A16">
        <v>2005</v>
      </c>
      <c r="B16" s="1">
        <v>-10.468737579321903</v>
      </c>
      <c r="C16" s="1">
        <v>10.259854185387773</v>
      </c>
      <c r="D16" s="1">
        <f t="shared" si="0"/>
        <v>-20.548483928963424</v>
      </c>
      <c r="E16" s="1">
        <f t="shared" si="1"/>
        <v>9.056475106341022</v>
      </c>
      <c r="H16" s="3" t="s">
        <v>21</v>
      </c>
      <c r="I16" s="3">
        <v>34</v>
      </c>
      <c r="J16" s="3" t="s">
        <v>21</v>
      </c>
      <c r="K16" s="3">
        <v>34</v>
      </c>
      <c r="N16">
        <v>120</v>
      </c>
      <c r="O16">
        <v>0</v>
      </c>
    </row>
    <row r="17" spans="1:16" x14ac:dyDescent="0.25">
      <c r="A17">
        <v>2006</v>
      </c>
      <c r="B17" s="1">
        <v>81.830145384882286</v>
      </c>
      <c r="C17" s="1">
        <v>11.375075597772977</v>
      </c>
      <c r="D17" s="1">
        <f t="shared" si="0"/>
        <v>-10.468737579321903</v>
      </c>
      <c r="E17" s="1">
        <f t="shared" si="1"/>
        <v>10.259854185387773</v>
      </c>
      <c r="O17">
        <v>0</v>
      </c>
    </row>
    <row r="18" spans="1:16" ht="15.75" thickBot="1" x14ac:dyDescent="0.3">
      <c r="A18">
        <v>2007</v>
      </c>
      <c r="B18" s="1">
        <v>62.813389324865064</v>
      </c>
      <c r="C18" s="1">
        <v>12.712034125161864</v>
      </c>
      <c r="D18" s="1">
        <f t="shared" si="0"/>
        <v>81.830145384882286</v>
      </c>
      <c r="E18" s="1">
        <f t="shared" si="1"/>
        <v>11.375075597772977</v>
      </c>
    </row>
    <row r="19" spans="1:16" x14ac:dyDescent="0.25">
      <c r="A19">
        <v>2008</v>
      </c>
      <c r="B19" s="1">
        <v>-112.04019336110933</v>
      </c>
      <c r="C19" s="1">
        <v>8.71840435188318</v>
      </c>
      <c r="D19" s="1">
        <f t="shared" si="0"/>
        <v>62.813389324865064</v>
      </c>
      <c r="E19" s="1">
        <f t="shared" si="1"/>
        <v>12.712034125161864</v>
      </c>
      <c r="H19" s="4"/>
      <c r="I19" s="4" t="s">
        <v>2</v>
      </c>
      <c r="J19" s="4" t="s">
        <v>5</v>
      </c>
      <c r="N19" s="6"/>
      <c r="O19" s="6"/>
      <c r="P19" s="6"/>
    </row>
    <row r="20" spans="1:16" x14ac:dyDescent="0.25">
      <c r="A20">
        <v>2009</v>
      </c>
      <c r="B20" s="1">
        <v>59.497372717931349</v>
      </c>
      <c r="C20" s="1">
        <v>8.4891567271283108</v>
      </c>
      <c r="D20" s="1">
        <f t="shared" si="0"/>
        <v>-112.04019336110933</v>
      </c>
      <c r="E20" s="1">
        <f t="shared" si="1"/>
        <v>8.71840435188318</v>
      </c>
      <c r="H20" t="s">
        <v>2</v>
      </c>
      <c r="I20">
        <v>1</v>
      </c>
    </row>
    <row r="21" spans="1:16" ht="15.75" thickBot="1" x14ac:dyDescent="0.3">
      <c r="A21">
        <v>2010</v>
      </c>
      <c r="B21" s="1">
        <v>-18.622412574868353</v>
      </c>
      <c r="C21" s="1">
        <v>9.5886598377340704</v>
      </c>
      <c r="D21" s="1">
        <f t="shared" si="0"/>
        <v>59.497372717931349</v>
      </c>
      <c r="E21" s="1">
        <f t="shared" si="1"/>
        <v>8.4891567271283108</v>
      </c>
      <c r="H21" s="3" t="s">
        <v>5</v>
      </c>
      <c r="I21" s="3">
        <v>0.27478032771109334</v>
      </c>
      <c r="J21" s="3">
        <v>1</v>
      </c>
    </row>
    <row r="22" spans="1:16" x14ac:dyDescent="0.25">
      <c r="A22">
        <v>2011</v>
      </c>
      <c r="B22" s="1">
        <v>-29.984657142020289</v>
      </c>
      <c r="C22" s="1">
        <v>8.4936628044561147</v>
      </c>
      <c r="D22" s="1">
        <f t="shared" si="0"/>
        <v>-18.622412574868353</v>
      </c>
      <c r="E22" s="1">
        <f t="shared" si="1"/>
        <v>9.5886598377340704</v>
      </c>
    </row>
    <row r="23" spans="1:16" x14ac:dyDescent="0.25">
      <c r="A23">
        <v>2012</v>
      </c>
      <c r="B23" s="1">
        <v>0.50080482129854298</v>
      </c>
      <c r="C23" s="1">
        <v>6.8844979303836595</v>
      </c>
      <c r="D23" s="1">
        <f t="shared" si="0"/>
        <v>-29.984657142020289</v>
      </c>
      <c r="E23" s="1">
        <f t="shared" si="1"/>
        <v>8.4936628044561147</v>
      </c>
    </row>
    <row r="24" spans="1:16" x14ac:dyDescent="0.25">
      <c r="A24">
        <v>2013</v>
      </c>
      <c r="B24" s="1">
        <v>-9.6088999931338428</v>
      </c>
      <c r="C24" s="1">
        <v>6.8249358615615208</v>
      </c>
      <c r="D24" s="1">
        <f t="shared" si="0"/>
        <v>0.50080482129854298</v>
      </c>
      <c r="E24" s="1">
        <f t="shared" si="1"/>
        <v>6.8844979303836595</v>
      </c>
    </row>
    <row r="25" spans="1:16" x14ac:dyDescent="0.25">
      <c r="A25">
        <v>2014</v>
      </c>
      <c r="B25" s="1">
        <v>40.519585343188098</v>
      </c>
      <c r="C25" s="1">
        <v>6.5662918885362132</v>
      </c>
      <c r="D25" s="1">
        <f t="shared" si="0"/>
        <v>-9.6088999931338428</v>
      </c>
      <c r="E25" s="1">
        <f t="shared" si="1"/>
        <v>6.8249358615615208</v>
      </c>
    </row>
    <row r="26" spans="1:16" x14ac:dyDescent="0.25">
      <c r="A26">
        <v>2015</v>
      </c>
      <c r="B26" s="1">
        <v>7.5596002226895358</v>
      </c>
      <c r="C26" s="1">
        <v>6.164574983107407</v>
      </c>
      <c r="D26" s="1">
        <f t="shared" si="0"/>
        <v>40.519585343188098</v>
      </c>
      <c r="E26" s="1">
        <f t="shared" si="1"/>
        <v>6.5662918885362132</v>
      </c>
    </row>
    <row r="27" spans="1:16" x14ac:dyDescent="0.25">
      <c r="A27">
        <v>2016</v>
      </c>
      <c r="B27" s="1">
        <v>-15.132099561098546</v>
      </c>
      <c r="C27" s="1">
        <v>5.9828325396134474</v>
      </c>
      <c r="D27" s="1">
        <f t="shared" si="0"/>
        <v>7.5596002226895358</v>
      </c>
      <c r="E27" s="1">
        <f t="shared" si="1"/>
        <v>6.164574983107407</v>
      </c>
    </row>
    <row r="28" spans="1:16" x14ac:dyDescent="0.25">
      <c r="A28">
        <v>2017</v>
      </c>
      <c r="B28" s="1">
        <v>4.7587433920011719</v>
      </c>
      <c r="C28" s="1">
        <v>6.0589479432271887</v>
      </c>
      <c r="D28" s="1">
        <f t="shared" si="0"/>
        <v>-15.132099561098546</v>
      </c>
      <c r="E28" s="1">
        <f t="shared" si="1"/>
        <v>5.9828325396134474</v>
      </c>
    </row>
    <row r="29" spans="1:16" x14ac:dyDescent="0.25">
      <c r="A29">
        <v>2018</v>
      </c>
      <c r="B29" s="1">
        <v>-30.299520122151417</v>
      </c>
      <c r="C29" s="1">
        <v>6.0705675705818862</v>
      </c>
      <c r="D29" s="1">
        <f t="shared" si="0"/>
        <v>4.7587433920011719</v>
      </c>
      <c r="E29" s="1">
        <f t="shared" si="1"/>
        <v>6.0589479432271887</v>
      </c>
    </row>
    <row r="30" spans="1:16" x14ac:dyDescent="0.25">
      <c r="A30">
        <v>2019</v>
      </c>
      <c r="B30" s="1">
        <v>17.234375758659997</v>
      </c>
      <c r="C30" s="1">
        <v>5.5367539083539086</v>
      </c>
      <c r="D30" s="1">
        <f t="shared" si="0"/>
        <v>-30.299520122151417</v>
      </c>
      <c r="E30" s="1">
        <f t="shared" si="1"/>
        <v>6.0705675705818862</v>
      </c>
    </row>
    <row r="31" spans="1:16" x14ac:dyDescent="0.25">
      <c r="A31">
        <v>2020</v>
      </c>
      <c r="B31" s="1">
        <v>10.566217663786784</v>
      </c>
      <c r="C31" s="1">
        <v>2.0751849908078768</v>
      </c>
      <c r="D31" s="1">
        <f t="shared" si="0"/>
        <v>17.234375758659997</v>
      </c>
      <c r="E31" s="1">
        <f t="shared" si="1"/>
        <v>5.5367539083539086</v>
      </c>
    </row>
    <row r="32" spans="1:16" x14ac:dyDescent="0.25">
      <c r="A32">
        <v>2021</v>
      </c>
      <c r="B32" s="1">
        <v>3.707307408162575</v>
      </c>
      <c r="C32" s="1">
        <v>8.1333202372697144</v>
      </c>
      <c r="D32" s="1">
        <f t="shared" si="0"/>
        <v>10.566217663786784</v>
      </c>
      <c r="E32" s="1">
        <f t="shared" si="1"/>
        <v>2.0751849908078768</v>
      </c>
    </row>
    <row r="33" spans="1:11" x14ac:dyDescent="0.25">
      <c r="A33">
        <v>2022</v>
      </c>
      <c r="B33" s="1">
        <v>-18.372668950110565</v>
      </c>
      <c r="C33" s="1">
        <v>3.099175392365261</v>
      </c>
      <c r="D33" s="1">
        <f t="shared" si="0"/>
        <v>3.707307408162575</v>
      </c>
      <c r="E33" s="1">
        <f t="shared" si="1"/>
        <v>8.1333202372697144</v>
      </c>
    </row>
    <row r="34" spans="1:11" x14ac:dyDescent="0.25">
      <c r="A34">
        <v>2023</v>
      </c>
      <c r="B34" s="1">
        <v>-4.0057110893642749</v>
      </c>
      <c r="C34" s="1">
        <v>5.3771213802397355</v>
      </c>
      <c r="D34" s="1">
        <f t="shared" si="0"/>
        <v>-18.372668950110565</v>
      </c>
      <c r="E34" s="1">
        <f t="shared" si="1"/>
        <v>3.099175392365261</v>
      </c>
    </row>
    <row r="35" spans="1:11" x14ac:dyDescent="0.25">
      <c r="A35">
        <v>2024</v>
      </c>
      <c r="B35" s="1">
        <v>11.708299665910582</v>
      </c>
      <c r="C35" s="1">
        <v>4.9805123479865543</v>
      </c>
      <c r="D35" s="1">
        <f t="shared" si="0"/>
        <v>-4.0057110893642749</v>
      </c>
      <c r="E35" s="1">
        <f t="shared" si="1"/>
        <v>5.3771213802397355</v>
      </c>
    </row>
    <row r="39" spans="1:11" x14ac:dyDescent="0.25">
      <c r="H39" t="s">
        <v>57</v>
      </c>
    </row>
    <row r="41" spans="1:11" x14ac:dyDescent="0.25">
      <c r="H41" t="s">
        <v>27</v>
      </c>
      <c r="K41" t="s">
        <v>50</v>
      </c>
    </row>
    <row r="42" spans="1:11" ht="15.75" thickBot="1" x14ac:dyDescent="0.3">
      <c r="K42" t="s">
        <v>51</v>
      </c>
    </row>
    <row r="43" spans="1:11" x14ac:dyDescent="0.25">
      <c r="H43" s="7" t="s">
        <v>28</v>
      </c>
      <c r="I43" s="7"/>
    </row>
    <row r="44" spans="1:11" x14ac:dyDescent="0.25">
      <c r="H44" t="s">
        <v>29</v>
      </c>
      <c r="I44">
        <v>0.27478032771109318</v>
      </c>
    </row>
    <row r="45" spans="1:11" x14ac:dyDescent="0.25">
      <c r="H45" t="s">
        <v>30</v>
      </c>
      <c r="I45">
        <v>7.5504228497015768E-2</v>
      </c>
    </row>
    <row r="46" spans="1:11" x14ac:dyDescent="0.25">
      <c r="H46" t="s">
        <v>31</v>
      </c>
      <c r="I46">
        <v>4.5681784254984016E-2</v>
      </c>
    </row>
    <row r="47" spans="1:11" x14ac:dyDescent="0.25">
      <c r="H47" t="s">
        <v>10</v>
      </c>
      <c r="I47">
        <v>2.4009610933881671</v>
      </c>
    </row>
    <row r="48" spans="1:11" ht="15.75" thickBot="1" x14ac:dyDescent="0.3">
      <c r="H48" s="3" t="s">
        <v>32</v>
      </c>
      <c r="I48" s="3">
        <v>33</v>
      </c>
    </row>
    <row r="50" spans="8:16" ht="15.75" thickBot="1" x14ac:dyDescent="0.3">
      <c r="H50" t="s">
        <v>33</v>
      </c>
    </row>
    <row r="51" spans="8:16" x14ac:dyDescent="0.25">
      <c r="H51" s="4"/>
      <c r="I51" s="4" t="s">
        <v>38</v>
      </c>
      <c r="J51" s="4" t="s">
        <v>39</v>
      </c>
      <c r="K51" s="4" t="s">
        <v>40</v>
      </c>
      <c r="L51" s="4" t="s">
        <v>41</v>
      </c>
      <c r="M51" s="4" t="s">
        <v>42</v>
      </c>
    </row>
    <row r="52" spans="8:16" x14ac:dyDescent="0.25">
      <c r="H52" t="s">
        <v>34</v>
      </c>
      <c r="I52">
        <v>1</v>
      </c>
      <c r="J52">
        <v>14.594804574188373</v>
      </c>
      <c r="K52">
        <v>14.594804574188373</v>
      </c>
      <c r="L52">
        <v>2.5317920920311461</v>
      </c>
      <c r="M52">
        <v>0.12172097514652377</v>
      </c>
    </row>
    <row r="53" spans="8:16" x14ac:dyDescent="0.25">
      <c r="H53" t="s">
        <v>35</v>
      </c>
      <c r="I53">
        <v>31</v>
      </c>
      <c r="J53">
        <v>178.70303933087476</v>
      </c>
      <c r="K53">
        <v>5.7646141719637018</v>
      </c>
    </row>
    <row r="54" spans="8:16" ht="15.75" thickBot="1" x14ac:dyDescent="0.3">
      <c r="H54" s="3" t="s">
        <v>36</v>
      </c>
      <c r="I54" s="3">
        <v>32</v>
      </c>
      <c r="J54" s="3">
        <v>193.29784390506313</v>
      </c>
      <c r="K54" s="3"/>
      <c r="L54" s="3"/>
      <c r="M54" s="3"/>
    </row>
    <row r="55" spans="8:16" ht="15.75" thickBot="1" x14ac:dyDescent="0.3"/>
    <row r="56" spans="8:16" x14ac:dyDescent="0.25">
      <c r="H56" s="4"/>
      <c r="I56" s="4" t="s">
        <v>43</v>
      </c>
      <c r="J56" s="4" t="s">
        <v>10</v>
      </c>
      <c r="K56" s="4" t="s">
        <v>44</v>
      </c>
      <c r="L56" s="4" t="s">
        <v>45</v>
      </c>
      <c r="M56" s="4" t="s">
        <v>46</v>
      </c>
      <c r="N56" s="4" t="s">
        <v>47</v>
      </c>
      <c r="O56" s="4" t="s">
        <v>48</v>
      </c>
      <c r="P56" s="4" t="s">
        <v>49</v>
      </c>
    </row>
    <row r="57" spans="8:16" x14ac:dyDescent="0.25">
      <c r="H57" t="s">
        <v>37</v>
      </c>
      <c r="I57">
        <v>7.7385961602391733</v>
      </c>
      <c r="J57">
        <v>0.42211224145052262</v>
      </c>
      <c r="K57">
        <v>18.333029465449044</v>
      </c>
      <c r="L57">
        <v>3.4092449029098998E-18</v>
      </c>
      <c r="M57">
        <v>6.8776925679123053</v>
      </c>
      <c r="N57">
        <v>8.5994997525660413</v>
      </c>
      <c r="O57">
        <v>6.8776925679123053</v>
      </c>
      <c r="P57">
        <v>8.5994997525660413</v>
      </c>
    </row>
    <row r="58" spans="8:16" ht="15.75" thickBot="1" x14ac:dyDescent="0.3">
      <c r="H58" s="3" t="s">
        <v>5</v>
      </c>
      <c r="I58" s="3">
        <v>1.6319386040726101E-2</v>
      </c>
      <c r="J58" s="3">
        <v>1.0256278292306933E-2</v>
      </c>
      <c r="K58" s="3">
        <v>1.5911606116389223</v>
      </c>
      <c r="L58" s="3">
        <v>0.12172097514652377</v>
      </c>
      <c r="M58" s="3">
        <v>-4.5984314464174794E-3</v>
      </c>
      <c r="N58" s="3">
        <v>3.7237203527869682E-2</v>
      </c>
      <c r="O58" s="3">
        <v>-4.5984314464174794E-3</v>
      </c>
      <c r="P58" s="3">
        <v>3.7237203527869682E-2</v>
      </c>
    </row>
    <row r="62" spans="8:16" x14ac:dyDescent="0.25">
      <c r="H62" t="s">
        <v>58</v>
      </c>
    </row>
    <row r="63" spans="8:16" x14ac:dyDescent="0.25">
      <c r="H63" t="s">
        <v>27</v>
      </c>
      <c r="K63" t="s">
        <v>50</v>
      </c>
    </row>
    <row r="64" spans="8:16" ht="15.75" thickBot="1" x14ac:dyDescent="0.3">
      <c r="K64" t="s">
        <v>59</v>
      </c>
    </row>
    <row r="65" spans="8:16" x14ac:dyDescent="0.25">
      <c r="H65" s="7" t="s">
        <v>28</v>
      </c>
      <c r="I65" s="7"/>
      <c r="K65" t="s">
        <v>51</v>
      </c>
    </row>
    <row r="66" spans="8:16" x14ac:dyDescent="0.25">
      <c r="H66" t="s">
        <v>29</v>
      </c>
      <c r="I66">
        <v>0.66418066224130068</v>
      </c>
    </row>
    <row r="67" spans="8:16" x14ac:dyDescent="0.25">
      <c r="H67" t="s">
        <v>30</v>
      </c>
      <c r="I67">
        <v>0.44113595209529277</v>
      </c>
    </row>
    <row r="68" spans="8:16" x14ac:dyDescent="0.25">
      <c r="H68" t="s">
        <v>31</v>
      </c>
      <c r="I68">
        <v>0.40387834890164565</v>
      </c>
    </row>
    <row r="69" spans="8:16" x14ac:dyDescent="0.25">
      <c r="H69" t="s">
        <v>10</v>
      </c>
      <c r="I69">
        <v>1.8976056448064214</v>
      </c>
    </row>
    <row r="70" spans="8:16" ht="15.75" thickBot="1" x14ac:dyDescent="0.3">
      <c r="H70" s="3" t="s">
        <v>32</v>
      </c>
      <c r="I70" s="3">
        <v>33</v>
      </c>
    </row>
    <row r="72" spans="8:16" ht="15.75" thickBot="1" x14ac:dyDescent="0.3">
      <c r="H72" t="s">
        <v>33</v>
      </c>
    </row>
    <row r="73" spans="8:16" x14ac:dyDescent="0.25">
      <c r="H73" s="4"/>
      <c r="I73" s="4" t="s">
        <v>38</v>
      </c>
      <c r="J73" s="4" t="s">
        <v>39</v>
      </c>
      <c r="K73" s="4" t="s">
        <v>40</v>
      </c>
      <c r="L73" s="4" t="s">
        <v>41</v>
      </c>
      <c r="M73" s="4" t="s">
        <v>42</v>
      </c>
    </row>
    <row r="74" spans="8:16" x14ac:dyDescent="0.25">
      <c r="H74" t="s">
        <v>34</v>
      </c>
      <c r="I74">
        <v>2</v>
      </c>
      <c r="J74">
        <v>85.27062840902731</v>
      </c>
      <c r="K74">
        <v>42.635314204513655</v>
      </c>
      <c r="L74">
        <v>11.840159169726505</v>
      </c>
      <c r="M74">
        <v>1.6202893630422845E-4</v>
      </c>
    </row>
    <row r="75" spans="8:16" x14ac:dyDescent="0.25">
      <c r="H75" t="s">
        <v>35</v>
      </c>
      <c r="I75">
        <v>30</v>
      </c>
      <c r="J75">
        <v>108.02721549603582</v>
      </c>
      <c r="K75">
        <v>3.6009071832011941</v>
      </c>
    </row>
    <row r="76" spans="8:16" ht="15.75" thickBot="1" x14ac:dyDescent="0.3">
      <c r="H76" s="3" t="s">
        <v>36</v>
      </c>
      <c r="I76" s="3">
        <v>32</v>
      </c>
      <c r="J76" s="3">
        <v>193.29784390506313</v>
      </c>
      <c r="K76" s="3"/>
      <c r="L76" s="3"/>
      <c r="M76" s="3"/>
    </row>
    <row r="77" spans="8:16" ht="15.75" thickBot="1" x14ac:dyDescent="0.3"/>
    <row r="78" spans="8:16" x14ac:dyDescent="0.25">
      <c r="H78" s="4"/>
      <c r="I78" s="4" t="s">
        <v>43</v>
      </c>
      <c r="J78" s="4" t="s">
        <v>10</v>
      </c>
      <c r="K78" s="4" t="s">
        <v>44</v>
      </c>
      <c r="L78" s="4" t="s">
        <v>45</v>
      </c>
      <c r="M78" s="4" t="s">
        <v>46</v>
      </c>
      <c r="N78" s="4" t="s">
        <v>47</v>
      </c>
      <c r="O78" s="4" t="s">
        <v>48</v>
      </c>
      <c r="P78" s="4" t="s">
        <v>49</v>
      </c>
    </row>
    <row r="79" spans="8:16" x14ac:dyDescent="0.25">
      <c r="H79" t="s">
        <v>37</v>
      </c>
      <c r="I79">
        <v>2.8059130396882965</v>
      </c>
      <c r="J79">
        <v>1.1623143232406252</v>
      </c>
      <c r="K79">
        <v>2.4140742169168035</v>
      </c>
      <c r="L79">
        <v>2.2085142612571051E-2</v>
      </c>
      <c r="M79">
        <v>0.43215051176955388</v>
      </c>
      <c r="N79">
        <v>5.1796755676070392</v>
      </c>
      <c r="O79">
        <v>0.43215051176955388</v>
      </c>
      <c r="P79">
        <v>5.1796755676070392</v>
      </c>
    </row>
    <row r="80" spans="8:16" x14ac:dyDescent="0.25">
      <c r="H80" t="s">
        <v>5</v>
      </c>
      <c r="I80">
        <v>9.7700135741354936E-3</v>
      </c>
      <c r="J80">
        <v>8.2397758247337513E-3</v>
      </c>
      <c r="K80">
        <v>1.1857135172061781</v>
      </c>
      <c r="L80">
        <v>0.24504235519301848</v>
      </c>
      <c r="M80">
        <v>-7.0578536388150627E-3</v>
      </c>
      <c r="N80">
        <v>2.659788078708605E-2</v>
      </c>
      <c r="O80">
        <v>-7.0578536388150627E-3</v>
      </c>
      <c r="P80">
        <v>2.659788078708605E-2</v>
      </c>
    </row>
    <row r="81" spans="8:16" ht="15.75" thickBot="1" x14ac:dyDescent="0.3">
      <c r="H81" s="3" t="s">
        <v>6</v>
      </c>
      <c r="I81" s="3">
        <v>0.62824896648302553</v>
      </c>
      <c r="J81" s="3">
        <v>0.141808514166961</v>
      </c>
      <c r="K81" s="3">
        <v>4.4302626691606433</v>
      </c>
      <c r="L81" s="3">
        <v>1.1571606781880088E-4</v>
      </c>
      <c r="M81" s="3">
        <v>0.33863734393083722</v>
      </c>
      <c r="N81" s="3">
        <v>0.91786058903521384</v>
      </c>
      <c r="O81" s="3">
        <v>0.33863734393083722</v>
      </c>
      <c r="P81" s="3">
        <v>0.91786058903521384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F2C7-D737-4F0B-B220-CE9FAAF1A3BB}">
  <dimension ref="A3:AG96"/>
  <sheetViews>
    <sheetView tabSelected="1" topLeftCell="A54" zoomScale="120" zoomScaleNormal="120" workbookViewId="0">
      <selection activeCell="I61" sqref="I61"/>
    </sheetView>
  </sheetViews>
  <sheetFormatPr defaultRowHeight="15" x14ac:dyDescent="0.25"/>
  <cols>
    <col min="1" max="1" width="17.5703125" customWidth="1"/>
    <col min="2" max="2" width="13.85546875" customWidth="1"/>
    <col min="3" max="3" width="16.42578125" customWidth="1"/>
    <col min="4" max="4" width="13" customWidth="1"/>
    <col min="5" max="5" width="12" bestFit="1" customWidth="1"/>
    <col min="33" max="33" width="10.85546875" bestFit="1" customWidth="1"/>
  </cols>
  <sheetData>
    <row r="3" spans="1:31" x14ac:dyDescent="0.25">
      <c r="A3" s="24" t="s">
        <v>62</v>
      </c>
      <c r="B3" s="24"/>
      <c r="C3" s="24"/>
      <c r="D3" s="24"/>
      <c r="E3" s="24"/>
      <c r="J3" s="13"/>
      <c r="K3" s="14"/>
      <c r="L3" s="14"/>
      <c r="M3" s="14"/>
      <c r="N3" s="14"/>
      <c r="O3" s="14"/>
      <c r="P3" s="14"/>
      <c r="Q3" s="14"/>
      <c r="R3" s="14"/>
      <c r="S3" s="15"/>
      <c r="V3" s="13"/>
      <c r="W3" s="14"/>
      <c r="X3" s="14"/>
      <c r="Y3" s="14"/>
      <c r="Z3" s="14"/>
      <c r="AA3" s="14"/>
      <c r="AB3" s="14"/>
      <c r="AC3" s="14"/>
      <c r="AD3" s="14"/>
      <c r="AE3" s="15"/>
    </row>
    <row r="4" spans="1:31" x14ac:dyDescent="0.25">
      <c r="A4" s="8" t="s">
        <v>61</v>
      </c>
      <c r="B4" s="8" t="s">
        <v>1</v>
      </c>
      <c r="C4" s="8" t="s">
        <v>2</v>
      </c>
      <c r="D4" s="8" t="s">
        <v>3</v>
      </c>
      <c r="E4" s="8" t="s">
        <v>4</v>
      </c>
      <c r="J4" s="16"/>
      <c r="S4" s="17"/>
      <c r="V4" s="16"/>
      <c r="AE4" s="17"/>
    </row>
    <row r="5" spans="1:31" x14ac:dyDescent="0.25">
      <c r="A5" s="9" t="s">
        <v>9</v>
      </c>
      <c r="B5" s="5">
        <f>China!I4</f>
        <v>5.9377313131986869</v>
      </c>
      <c r="C5" s="5">
        <f>China!K4</f>
        <v>7.8253478969367736</v>
      </c>
      <c r="D5" s="5">
        <f>UK!I4</f>
        <v>2.0438728707919265</v>
      </c>
      <c r="E5" s="5">
        <f>UK!K4</f>
        <v>1.6482850737297383</v>
      </c>
      <c r="J5" s="16"/>
      <c r="S5" s="17"/>
      <c r="V5" s="16"/>
      <c r="AE5" s="17"/>
    </row>
    <row r="6" spans="1:31" x14ac:dyDescent="0.25">
      <c r="A6" s="9" t="s">
        <v>10</v>
      </c>
      <c r="B6" s="5">
        <f>China!I5</f>
        <v>6.9909275430826705</v>
      </c>
      <c r="C6" s="5">
        <f>China!K5</f>
        <v>0.41513001674680988</v>
      </c>
      <c r="D6" s="5">
        <f>UK!I5</f>
        <v>2.2143809143431072</v>
      </c>
      <c r="E6" s="5">
        <f>UK!K5</f>
        <v>0.45463001650505563</v>
      </c>
      <c r="J6" s="16"/>
      <c r="S6" s="17"/>
      <c r="V6" s="16"/>
      <c r="AE6" s="17"/>
    </row>
    <row r="7" spans="1:31" x14ac:dyDescent="0.25">
      <c r="A7" s="9" t="s">
        <v>11</v>
      </c>
      <c r="B7" s="5">
        <f>China!I6</f>
        <v>2.1040561147305592</v>
      </c>
      <c r="C7" s="5">
        <f>China!K6</f>
        <v>7.7212454851379064</v>
      </c>
      <c r="D7" s="5">
        <f>UK!I6</f>
        <v>6.1234335405386702</v>
      </c>
      <c r="E7" s="5">
        <f>UK!K6</f>
        <v>1.995499452812588</v>
      </c>
      <c r="J7" s="16"/>
      <c r="S7" s="17"/>
      <c r="V7" s="16"/>
      <c r="AE7" s="17"/>
    </row>
    <row r="8" spans="1:31" x14ac:dyDescent="0.25">
      <c r="A8" s="9" t="s">
        <v>12</v>
      </c>
      <c r="B8" s="5" t="e">
        <f>China!I7</f>
        <v>#N/A</v>
      </c>
      <c r="C8" s="5" t="e">
        <f>China!K7</f>
        <v>#N/A</v>
      </c>
      <c r="D8" s="5" t="e">
        <f>UK!I7</f>
        <v>#N/A</v>
      </c>
      <c r="E8" s="5" t="e">
        <f>UK!K7</f>
        <v>#N/A</v>
      </c>
      <c r="J8" s="16"/>
      <c r="S8" s="17"/>
      <c r="V8" s="16"/>
      <c r="AE8" s="17"/>
    </row>
    <row r="9" spans="1:31" x14ac:dyDescent="0.25">
      <c r="A9" s="9" t="s">
        <v>13</v>
      </c>
      <c r="B9" s="5">
        <f>China!I8</f>
        <v>40.763762204064101</v>
      </c>
      <c r="C9" s="5">
        <f>China!K8</f>
        <v>2.4206031577569727</v>
      </c>
      <c r="D9" s="5">
        <f>UK!I8</f>
        <v>14.178956103539063</v>
      </c>
      <c r="E9" s="5">
        <f>UK!K8</f>
        <v>2.9110524777480178</v>
      </c>
      <c r="J9" s="16"/>
      <c r="S9" s="17"/>
      <c r="V9" s="16"/>
      <c r="AE9" s="17"/>
    </row>
    <row r="10" spans="1:31" x14ac:dyDescent="0.25">
      <c r="A10" s="9" t="s">
        <v>14</v>
      </c>
      <c r="B10" s="5">
        <f>China!I9</f>
        <v>1661.6843090294849</v>
      </c>
      <c r="C10" s="5">
        <f>China!K9</f>
        <v>5.8593196473430273</v>
      </c>
      <c r="D10" s="5">
        <f>UK!I9</f>
        <v>201.04279618608763</v>
      </c>
      <c r="E10" s="5">
        <f>UK!K9</f>
        <v>8.4742265282028733</v>
      </c>
      <c r="J10" s="16"/>
      <c r="S10" s="17"/>
      <c r="V10" s="16"/>
      <c r="AE10" s="17"/>
    </row>
    <row r="11" spans="1:31" x14ac:dyDescent="0.25">
      <c r="A11" s="9" t="s">
        <v>15</v>
      </c>
      <c r="B11" s="5">
        <f>China!I10</f>
        <v>1.3330342572372138</v>
      </c>
      <c r="C11" s="5">
        <f>China!K10</f>
        <v>0.19644611136660606</v>
      </c>
      <c r="D11" s="5">
        <f>UK!I10</f>
        <v>0.99348455583951223</v>
      </c>
      <c r="E11" s="5">
        <f>UK!K10</f>
        <v>8.2127701096145884</v>
      </c>
      <c r="J11" s="16"/>
      <c r="S11" s="17"/>
      <c r="V11" s="16"/>
      <c r="AE11" s="17"/>
    </row>
    <row r="12" spans="1:31" x14ac:dyDescent="0.25">
      <c r="A12" s="9" t="s">
        <v>16</v>
      </c>
      <c r="B12" s="5">
        <f>China!I11</f>
        <v>-6.0880717772764339E-2</v>
      </c>
      <c r="C12" s="5">
        <f>China!K11</f>
        <v>9.4132678897945157E-5</v>
      </c>
      <c r="D12" s="5">
        <f>UK!I11</f>
        <v>-1.0534341391221123</v>
      </c>
      <c r="E12" s="5">
        <f>UK!K11</f>
        <v>-2.0901968957184933</v>
      </c>
      <c r="J12" s="16"/>
      <c r="S12" s="17"/>
      <c r="V12" s="16"/>
      <c r="AE12" s="17"/>
    </row>
    <row r="13" spans="1:31" x14ac:dyDescent="0.25">
      <c r="A13" s="9" t="s">
        <v>17</v>
      </c>
      <c r="B13" s="5">
        <f>China!I12</f>
        <v>203.73369124560688</v>
      </c>
      <c r="C13" s="5">
        <f>China!K12</f>
        <v>10.636849134353987</v>
      </c>
      <c r="D13" s="5">
        <f>UK!I12</f>
        <v>65.435712581173533</v>
      </c>
      <c r="E13" s="5">
        <f>UK!K12</f>
        <v>18.597518602775587</v>
      </c>
      <c r="J13" s="16"/>
      <c r="S13" s="17"/>
      <c r="V13" s="16"/>
      <c r="AE13" s="17"/>
    </row>
    <row r="14" spans="1:31" x14ac:dyDescent="0.25">
      <c r="A14" s="9" t="s">
        <v>18</v>
      </c>
      <c r="B14" s="5">
        <f>China!I13</f>
        <v>-112.04019336110933</v>
      </c>
      <c r="C14" s="5">
        <f>China!K13</f>
        <v>2.0751849908078768</v>
      </c>
      <c r="D14" s="5">
        <f>UK!I13</f>
        <v>-41.102296153196839</v>
      </c>
      <c r="E14" s="5">
        <f>UK!K13</f>
        <v>-10.758731306144043</v>
      </c>
      <c r="J14" s="16"/>
      <c r="S14" s="17"/>
      <c r="V14" s="16"/>
      <c r="AE14" s="17"/>
    </row>
    <row r="15" spans="1:31" x14ac:dyDescent="0.25">
      <c r="A15" s="9" t="s">
        <v>19</v>
      </c>
      <c r="B15" s="5">
        <f>China!I14</f>
        <v>91.693497884497546</v>
      </c>
      <c r="C15" s="5">
        <f>China!K14</f>
        <v>12.712034125161864</v>
      </c>
      <c r="D15" s="5">
        <f>UK!I14</f>
        <v>24.333416427976687</v>
      </c>
      <c r="E15" s="5">
        <f>UK!K14</f>
        <v>7.8387872966315442</v>
      </c>
      <c r="J15" s="16"/>
      <c r="S15" s="17"/>
      <c r="V15" s="16"/>
      <c r="AE15" s="17"/>
    </row>
    <row r="16" spans="1:31" x14ac:dyDescent="0.25">
      <c r="A16" s="9" t="s">
        <v>20</v>
      </c>
      <c r="B16" s="5">
        <f>China!I15</f>
        <v>201.88286464875534</v>
      </c>
      <c r="C16" s="5">
        <f>China!K15</f>
        <v>266.06182849585031</v>
      </c>
      <c r="D16" s="5">
        <f>UK!I15</f>
        <v>83.798787702468985</v>
      </c>
      <c r="E16" s="5">
        <f>UK!K15</f>
        <v>67.579688022919271</v>
      </c>
      <c r="J16" s="16"/>
      <c r="S16" s="17"/>
      <c r="V16" s="16"/>
      <c r="AE16" s="17"/>
    </row>
    <row r="17" spans="1:31" x14ac:dyDescent="0.25">
      <c r="A17" s="9" t="s">
        <v>21</v>
      </c>
      <c r="B17" s="5">
        <f>China!I16</f>
        <v>34</v>
      </c>
      <c r="C17" s="5">
        <f>China!K16</f>
        <v>34</v>
      </c>
      <c r="D17" s="5">
        <f>UK!I16</f>
        <v>41</v>
      </c>
      <c r="E17" s="5">
        <f>UK!K16</f>
        <v>41</v>
      </c>
      <c r="J17" s="16"/>
      <c r="S17" s="17"/>
      <c r="V17" s="16"/>
      <c r="AE17" s="17"/>
    </row>
    <row r="18" spans="1:31" x14ac:dyDescent="0.25">
      <c r="J18" s="16"/>
      <c r="S18" s="17"/>
      <c r="V18" s="16"/>
      <c r="AE18" s="17"/>
    </row>
    <row r="19" spans="1:31" x14ac:dyDescent="0.25">
      <c r="J19" s="18"/>
      <c r="K19" s="22" t="s">
        <v>69</v>
      </c>
      <c r="L19" s="22"/>
      <c r="M19" s="22"/>
      <c r="N19" s="22"/>
      <c r="O19" s="22"/>
      <c r="P19" s="22"/>
      <c r="Q19" s="22"/>
      <c r="R19" s="22"/>
      <c r="S19" s="19"/>
      <c r="V19" s="18"/>
      <c r="W19" s="22" t="s">
        <v>68</v>
      </c>
      <c r="X19" s="22"/>
      <c r="Y19" s="22"/>
      <c r="Z19" s="22"/>
      <c r="AA19" s="22"/>
      <c r="AB19" s="22"/>
      <c r="AC19" s="22"/>
      <c r="AD19" s="22"/>
      <c r="AE19" s="19"/>
    </row>
    <row r="20" spans="1:31" x14ac:dyDescent="0.25">
      <c r="A20" s="24" t="s">
        <v>63</v>
      </c>
      <c r="B20" s="24"/>
      <c r="C20" s="24"/>
      <c r="D20" s="24"/>
      <c r="E20" s="24"/>
    </row>
    <row r="21" spans="1:31" x14ac:dyDescent="0.25">
      <c r="A21" s="28"/>
      <c r="B21" s="29"/>
      <c r="C21" s="8" t="s">
        <v>22</v>
      </c>
      <c r="D21" s="8" t="s">
        <v>23</v>
      </c>
    </row>
    <row r="22" spans="1:31" x14ac:dyDescent="0.25">
      <c r="A22" s="26" t="s">
        <v>24</v>
      </c>
      <c r="B22" s="27"/>
      <c r="C22" s="5">
        <f>China!I21</f>
        <v>0.27478032771109334</v>
      </c>
      <c r="D22" s="5">
        <f>UK!I21</f>
        <v>0.22309487098319614</v>
      </c>
    </row>
    <row r="23" spans="1:31" x14ac:dyDescent="0.25">
      <c r="A23" s="26" t="s">
        <v>25</v>
      </c>
      <c r="B23" s="27"/>
      <c r="C23" s="5">
        <f>COUNT(China!D2:D35)</f>
        <v>33</v>
      </c>
      <c r="D23" s="5">
        <f>COUNT(UK!D2:D42)</f>
        <v>40</v>
      </c>
      <c r="J23" s="13"/>
      <c r="K23" s="14"/>
      <c r="L23" s="14"/>
      <c r="M23" s="14"/>
      <c r="N23" s="14"/>
      <c r="O23" s="14"/>
      <c r="P23" s="14"/>
      <c r="Q23" s="14"/>
      <c r="R23" s="14"/>
      <c r="S23" s="15"/>
      <c r="V23" s="13"/>
      <c r="W23" s="14"/>
      <c r="X23" s="14"/>
      <c r="Y23" s="14"/>
      <c r="Z23" s="14"/>
      <c r="AA23" s="14"/>
      <c r="AB23" s="14"/>
      <c r="AC23" s="14"/>
      <c r="AD23" s="14"/>
      <c r="AE23" s="15"/>
    </row>
    <row r="24" spans="1:31" x14ac:dyDescent="0.25">
      <c r="J24" s="16"/>
      <c r="S24" s="17"/>
      <c r="V24" s="16"/>
      <c r="AE24" s="17"/>
    </row>
    <row r="25" spans="1:31" x14ac:dyDescent="0.25">
      <c r="J25" s="16"/>
      <c r="S25" s="17"/>
      <c r="V25" s="16"/>
      <c r="AE25" s="17"/>
    </row>
    <row r="26" spans="1:31" x14ac:dyDescent="0.25">
      <c r="A26" s="25" t="s">
        <v>64</v>
      </c>
      <c r="B26" s="25"/>
      <c r="C26" s="25"/>
      <c r="D26" s="25"/>
      <c r="E26" s="25"/>
      <c r="J26" s="16"/>
      <c r="S26" s="17"/>
      <c r="V26" s="16"/>
      <c r="AE26" s="17"/>
    </row>
    <row r="27" spans="1:31" x14ac:dyDescent="0.25">
      <c r="A27" s="10"/>
      <c r="B27" s="12" t="s">
        <v>43</v>
      </c>
      <c r="C27" s="12" t="s">
        <v>10</v>
      </c>
      <c r="D27" s="12" t="s">
        <v>54</v>
      </c>
      <c r="E27" s="12" t="s">
        <v>55</v>
      </c>
      <c r="J27" s="16"/>
      <c r="S27" s="17"/>
      <c r="V27" s="16"/>
      <c r="AE27" s="17"/>
    </row>
    <row r="28" spans="1:31" x14ac:dyDescent="0.25">
      <c r="A28" s="11" t="s">
        <v>37</v>
      </c>
      <c r="B28" s="5">
        <f>China!I57</f>
        <v>7.7385961602391733</v>
      </c>
      <c r="C28" s="5">
        <f>China!J57</f>
        <v>0.42211224145052262</v>
      </c>
      <c r="D28" s="5">
        <f>China!K57</f>
        <v>18.333029465449044</v>
      </c>
      <c r="E28" s="5">
        <f>China!L57</f>
        <v>3.4092449029098998E-18</v>
      </c>
      <c r="J28" s="16"/>
      <c r="S28" s="17"/>
      <c r="V28" s="16"/>
      <c r="AE28" s="17"/>
    </row>
    <row r="29" spans="1:31" x14ac:dyDescent="0.25">
      <c r="A29" s="11" t="s">
        <v>5</v>
      </c>
      <c r="B29" s="5">
        <f>China!I58</f>
        <v>1.6319386040726101E-2</v>
      </c>
      <c r="C29" s="5">
        <f>China!J58</f>
        <v>1.0256278292306933E-2</v>
      </c>
      <c r="D29" s="5">
        <f>China!K58</f>
        <v>1.5911606116389223</v>
      </c>
      <c r="E29" s="5">
        <f>China!L58</f>
        <v>0.12172097514652377</v>
      </c>
      <c r="J29" s="16"/>
      <c r="S29" s="17"/>
      <c r="V29" s="16"/>
      <c r="AE29" s="17"/>
    </row>
    <row r="30" spans="1:31" x14ac:dyDescent="0.25">
      <c r="J30" s="16"/>
      <c r="S30" s="17"/>
      <c r="V30" s="16"/>
      <c r="AE30" s="17"/>
    </row>
    <row r="31" spans="1:31" x14ac:dyDescent="0.25">
      <c r="A31" s="11" t="s">
        <v>56</v>
      </c>
      <c r="B31" s="5">
        <f>China!I45</f>
        <v>7.5504228497015768E-2</v>
      </c>
      <c r="J31" s="16"/>
      <c r="S31" s="17"/>
      <c r="V31" s="16"/>
      <c r="AE31" s="17"/>
    </row>
    <row r="32" spans="1:31" x14ac:dyDescent="0.25">
      <c r="A32" s="11" t="s">
        <v>32</v>
      </c>
      <c r="B32" s="5">
        <f>China!I48</f>
        <v>33</v>
      </c>
      <c r="J32" s="16"/>
      <c r="S32" s="17"/>
      <c r="V32" s="16"/>
      <c r="AE32" s="17"/>
    </row>
    <row r="33" spans="1:31" x14ac:dyDescent="0.25">
      <c r="J33" s="16"/>
      <c r="S33" s="17"/>
      <c r="V33" s="16"/>
      <c r="AE33" s="17"/>
    </row>
    <row r="34" spans="1:31" x14ac:dyDescent="0.25">
      <c r="J34" s="16"/>
      <c r="S34" s="17"/>
      <c r="V34" s="16"/>
      <c r="AE34" s="17"/>
    </row>
    <row r="35" spans="1:31" x14ac:dyDescent="0.25">
      <c r="A35" s="25" t="s">
        <v>65</v>
      </c>
      <c r="B35" s="25"/>
      <c r="C35" s="25"/>
      <c r="D35" s="25"/>
      <c r="E35" s="25"/>
      <c r="J35" s="16"/>
      <c r="S35" s="17"/>
      <c r="V35" s="16"/>
      <c r="AE35" s="17"/>
    </row>
    <row r="36" spans="1:31" x14ac:dyDescent="0.25">
      <c r="A36" s="8"/>
      <c r="B36" s="12" t="s">
        <v>43</v>
      </c>
      <c r="C36" s="12" t="s">
        <v>10</v>
      </c>
      <c r="D36" s="12" t="s">
        <v>54</v>
      </c>
      <c r="E36" s="12" t="s">
        <v>55</v>
      </c>
      <c r="J36" s="16"/>
      <c r="S36" s="17"/>
      <c r="V36" s="16"/>
      <c r="AE36" s="17"/>
    </row>
    <row r="37" spans="1:31" x14ac:dyDescent="0.25">
      <c r="A37" s="11" t="s">
        <v>37</v>
      </c>
      <c r="B37" s="5">
        <f>UK!I58</f>
        <v>1.5342797278069877</v>
      </c>
      <c r="C37" s="5">
        <f>UK!J58</f>
        <v>0.46458240827065883</v>
      </c>
      <c r="D37" s="5">
        <f>UK!K58</f>
        <v>3.3024920885793398</v>
      </c>
      <c r="E37" s="5">
        <f>UK!L58</f>
        <v>2.0935972155593434E-3</v>
      </c>
      <c r="J37" s="16"/>
      <c r="S37" s="17"/>
      <c r="V37" s="16"/>
      <c r="AE37" s="17"/>
    </row>
    <row r="38" spans="1:31" x14ac:dyDescent="0.25">
      <c r="A38" s="11" t="s">
        <v>7</v>
      </c>
      <c r="B38" s="5">
        <f>UK!I59</f>
        <v>4.5755631906841218E-2</v>
      </c>
      <c r="C38" s="5">
        <f>UK!J59</f>
        <v>3.2432262031662377E-2</v>
      </c>
      <c r="D38" s="5">
        <f>UK!K59</f>
        <v>1.4108060628694892</v>
      </c>
      <c r="E38" s="5">
        <f>UK!L59</f>
        <v>0.1664364079050738</v>
      </c>
      <c r="J38" s="16"/>
      <c r="S38" s="17"/>
      <c r="V38" s="16"/>
      <c r="AE38" s="17"/>
    </row>
    <row r="39" spans="1:31" x14ac:dyDescent="0.25">
      <c r="J39" s="18"/>
      <c r="K39" s="22" t="s">
        <v>70</v>
      </c>
      <c r="L39" s="23"/>
      <c r="M39" s="23"/>
      <c r="N39" s="23"/>
      <c r="O39" s="23"/>
      <c r="P39" s="23"/>
      <c r="Q39" s="23"/>
      <c r="R39" s="23"/>
      <c r="S39" s="19"/>
      <c r="V39" s="18"/>
      <c r="W39" s="22" t="s">
        <v>71</v>
      </c>
      <c r="X39" s="23"/>
      <c r="Y39" s="23"/>
      <c r="Z39" s="23"/>
      <c r="AA39" s="23"/>
      <c r="AB39" s="23"/>
      <c r="AC39" s="23"/>
      <c r="AD39" s="23"/>
      <c r="AE39" s="19"/>
    </row>
    <row r="40" spans="1:31" x14ac:dyDescent="0.25">
      <c r="A40" s="11" t="s">
        <v>56</v>
      </c>
      <c r="B40" s="5">
        <f>UK!I46</f>
        <v>4.9771321459008894E-2</v>
      </c>
    </row>
    <row r="41" spans="1:31" x14ac:dyDescent="0.25">
      <c r="A41" s="11" t="s">
        <v>32</v>
      </c>
      <c r="B41" s="5">
        <f>UK!I49</f>
        <v>40</v>
      </c>
    </row>
    <row r="43" spans="1:31" x14ac:dyDescent="0.25">
      <c r="J43" s="13"/>
      <c r="K43" s="14"/>
      <c r="L43" s="14"/>
      <c r="M43" s="14"/>
      <c r="N43" s="14"/>
      <c r="O43" s="14"/>
      <c r="P43" s="14"/>
      <c r="Q43" s="14"/>
      <c r="R43" s="14"/>
      <c r="S43" s="15"/>
      <c r="V43" s="13"/>
      <c r="W43" s="14"/>
      <c r="X43" s="14"/>
      <c r="Y43" s="14"/>
      <c r="Z43" s="14"/>
      <c r="AA43" s="14"/>
      <c r="AB43" s="14"/>
      <c r="AC43" s="14"/>
      <c r="AD43" s="14"/>
      <c r="AE43" s="15"/>
    </row>
    <row r="44" spans="1:31" x14ac:dyDescent="0.25">
      <c r="A44" s="30" t="s">
        <v>66</v>
      </c>
      <c r="B44" s="30"/>
      <c r="C44" s="30"/>
      <c r="D44" s="30"/>
      <c r="E44" s="30"/>
      <c r="F44" s="30"/>
      <c r="J44" s="16"/>
      <c r="S44" s="17"/>
      <c r="V44" s="16"/>
      <c r="AE44" s="17"/>
    </row>
    <row r="45" spans="1:31" x14ac:dyDescent="0.25">
      <c r="A45" s="12"/>
      <c r="B45" s="12" t="s">
        <v>43</v>
      </c>
      <c r="C45" s="12" t="s">
        <v>10</v>
      </c>
      <c r="D45" s="12" t="s">
        <v>54</v>
      </c>
      <c r="E45" s="12" t="s">
        <v>55</v>
      </c>
      <c r="J45" s="16"/>
      <c r="S45" s="17"/>
      <c r="V45" s="16"/>
      <c r="AE45" s="17"/>
    </row>
    <row r="46" spans="1:31" x14ac:dyDescent="0.25">
      <c r="A46" s="11" t="s">
        <v>37</v>
      </c>
      <c r="B46" s="5">
        <f>China!I79</f>
        <v>2.8059130396882965</v>
      </c>
      <c r="C46" s="5">
        <f>China!J79</f>
        <v>1.1623143232406252</v>
      </c>
      <c r="D46" s="5">
        <f>China!K79</f>
        <v>2.4140742169168035</v>
      </c>
      <c r="E46" s="5">
        <f>China!L79</f>
        <v>2.2085142612571051E-2</v>
      </c>
      <c r="J46" s="16"/>
      <c r="S46" s="17"/>
      <c r="V46" s="16"/>
      <c r="AE46" s="17"/>
    </row>
    <row r="47" spans="1:31" x14ac:dyDescent="0.25">
      <c r="A47" s="11" t="s">
        <v>5</v>
      </c>
      <c r="B47" s="5">
        <f>China!I80</f>
        <v>9.7700135741354936E-3</v>
      </c>
      <c r="C47" s="5">
        <f>China!J80</f>
        <v>8.2397758247337513E-3</v>
      </c>
      <c r="D47" s="5">
        <f>China!K80</f>
        <v>1.1857135172061781</v>
      </c>
      <c r="E47" s="5">
        <f>China!L80</f>
        <v>0.24504235519301848</v>
      </c>
      <c r="J47" s="16"/>
      <c r="S47" s="17"/>
      <c r="V47" s="16"/>
      <c r="AE47" s="17"/>
    </row>
    <row r="48" spans="1:31" x14ac:dyDescent="0.25">
      <c r="A48" s="11" t="s">
        <v>6</v>
      </c>
      <c r="B48" s="5">
        <f>China!I81</f>
        <v>0.62824896648302553</v>
      </c>
      <c r="C48" s="5">
        <f>China!J81</f>
        <v>0.141808514166961</v>
      </c>
      <c r="D48" s="5">
        <f>China!K81</f>
        <v>4.4302626691606433</v>
      </c>
      <c r="E48" s="5">
        <f>China!L81</f>
        <v>1.1571606781880088E-4</v>
      </c>
      <c r="J48" s="16"/>
      <c r="S48" s="17"/>
      <c r="V48" s="16"/>
      <c r="AE48" s="17"/>
    </row>
    <row r="49" spans="1:33" x14ac:dyDescent="0.25">
      <c r="J49" s="16"/>
      <c r="S49" s="17"/>
      <c r="V49" s="16"/>
      <c r="AE49" s="17"/>
    </row>
    <row r="50" spans="1:33" x14ac:dyDescent="0.25">
      <c r="A50" s="11" t="s">
        <v>56</v>
      </c>
      <c r="B50" s="5">
        <f>China!I67</f>
        <v>0.44113595209529277</v>
      </c>
      <c r="J50" s="16"/>
      <c r="S50" s="17"/>
      <c r="V50" s="16"/>
      <c r="AE50" s="17"/>
      <c r="AG50" s="20"/>
    </row>
    <row r="51" spans="1:33" x14ac:dyDescent="0.25">
      <c r="A51" s="11" t="s">
        <v>32</v>
      </c>
      <c r="B51" s="5">
        <f>China!I70</f>
        <v>33</v>
      </c>
      <c r="J51" s="16"/>
      <c r="S51" s="17"/>
      <c r="V51" s="16"/>
      <c r="AE51" s="17"/>
    </row>
    <row r="52" spans="1:33" x14ac:dyDescent="0.25">
      <c r="J52" s="16"/>
      <c r="S52" s="17"/>
      <c r="V52" s="16"/>
      <c r="AE52" s="17"/>
    </row>
    <row r="53" spans="1:33" x14ac:dyDescent="0.25">
      <c r="J53" s="16"/>
      <c r="S53" s="17"/>
      <c r="V53" s="16"/>
      <c r="AE53" s="17"/>
    </row>
    <row r="54" spans="1:33" ht="15" customHeight="1" x14ac:dyDescent="0.25">
      <c r="A54" s="24" t="s">
        <v>67</v>
      </c>
      <c r="B54" s="24"/>
      <c r="C54" s="24"/>
      <c r="D54" s="24"/>
      <c r="E54" s="24"/>
      <c r="F54" s="24"/>
      <c r="G54" s="24"/>
      <c r="J54" s="16"/>
      <c r="S54" s="17"/>
      <c r="V54" s="16"/>
      <c r="AE54" s="17"/>
    </row>
    <row r="55" spans="1:33" x14ac:dyDescent="0.25">
      <c r="A55" s="12"/>
      <c r="B55" s="12" t="s">
        <v>43</v>
      </c>
      <c r="C55" s="12" t="s">
        <v>10</v>
      </c>
      <c r="D55" s="12" t="s">
        <v>54</v>
      </c>
      <c r="E55" s="12" t="s">
        <v>55</v>
      </c>
      <c r="J55" s="16"/>
      <c r="S55" s="17"/>
      <c r="V55" s="16"/>
      <c r="AE55" s="17"/>
    </row>
    <row r="56" spans="1:33" x14ac:dyDescent="0.25">
      <c r="A56" s="11" t="s">
        <v>37</v>
      </c>
      <c r="B56" s="5">
        <f>UK!I80</f>
        <v>1.5736243005935946</v>
      </c>
      <c r="C56" s="5">
        <f>UK!J80</f>
        <v>0.53909360679355278</v>
      </c>
      <c r="D56" s="5">
        <f>UK!K80</f>
        <v>2.919018665335829</v>
      </c>
      <c r="E56" s="5">
        <f>UK!L80</f>
        <v>5.9444307577733542E-3</v>
      </c>
      <c r="J56" s="16"/>
      <c r="S56" s="17"/>
      <c r="V56" s="16"/>
      <c r="AE56" s="17"/>
    </row>
    <row r="57" spans="1:33" x14ac:dyDescent="0.25">
      <c r="A57" s="11" t="s">
        <v>7</v>
      </c>
      <c r="B57" s="5">
        <f>UK!I81</f>
        <v>4.6934699104865786E-2</v>
      </c>
      <c r="C57" s="5">
        <f>UK!J81</f>
        <v>3.3788603936659237E-2</v>
      </c>
      <c r="D57" s="5">
        <f>UK!K81</f>
        <v>1.389068905979379</v>
      </c>
      <c r="E57" s="5">
        <f>UK!L81</f>
        <v>0.17311621895894197</v>
      </c>
      <c r="J57" s="16"/>
      <c r="S57" s="17"/>
      <c r="V57" s="16"/>
      <c r="AE57" s="17"/>
    </row>
    <row r="58" spans="1:33" x14ac:dyDescent="0.25">
      <c r="A58" s="11" t="s">
        <v>8</v>
      </c>
      <c r="B58" s="5">
        <f>UK!I82</f>
        <v>-2.4730254022253827E-2</v>
      </c>
      <c r="C58" s="5">
        <f>UK!J82</f>
        <v>0.16521073010835211</v>
      </c>
      <c r="D58" s="5">
        <f>UK!K82</f>
        <v>-0.14968915158255577</v>
      </c>
      <c r="E58" s="5">
        <f>UK!L82</f>
        <v>0.88182285807607441</v>
      </c>
      <c r="J58" s="16"/>
      <c r="S58" s="17"/>
      <c r="V58" s="16"/>
      <c r="AE58" s="17"/>
    </row>
    <row r="59" spans="1:33" x14ac:dyDescent="0.25">
      <c r="J59" s="18"/>
      <c r="K59" s="22" t="s">
        <v>73</v>
      </c>
      <c r="L59" s="23"/>
      <c r="M59" s="23"/>
      <c r="N59" s="23"/>
      <c r="O59" s="23"/>
      <c r="P59" s="23"/>
      <c r="Q59" s="23"/>
      <c r="R59" s="23"/>
      <c r="S59" s="19"/>
      <c r="V59" s="18"/>
      <c r="W59" s="22" t="s">
        <v>72</v>
      </c>
      <c r="X59" s="23"/>
      <c r="Y59" s="23"/>
      <c r="Z59" s="23"/>
      <c r="AA59" s="23"/>
      <c r="AB59" s="23"/>
      <c r="AC59" s="23"/>
      <c r="AD59" s="23"/>
      <c r="AE59" s="19"/>
    </row>
    <row r="60" spans="1:33" x14ac:dyDescent="0.25">
      <c r="A60" s="11" t="s">
        <v>56</v>
      </c>
      <c r="B60" s="5">
        <f>UK!I68</f>
        <v>5.0346422479620498E-2</v>
      </c>
    </row>
    <row r="61" spans="1:33" x14ac:dyDescent="0.25">
      <c r="A61" s="11" t="s">
        <v>32</v>
      </c>
      <c r="B61" s="5">
        <f>UK!I71</f>
        <v>40</v>
      </c>
    </row>
    <row r="62" spans="1:33" x14ac:dyDescent="0.25">
      <c r="D62" s="2" t="s">
        <v>1</v>
      </c>
      <c r="E62" s="2" t="s">
        <v>2</v>
      </c>
      <c r="F62" t="s">
        <v>5</v>
      </c>
    </row>
    <row r="63" spans="1:33" x14ac:dyDescent="0.25">
      <c r="D63" s="1">
        <v>79.477340820989653</v>
      </c>
      <c r="E63" s="1">
        <v>7.5846230668753734</v>
      </c>
      <c r="J63" s="13"/>
      <c r="K63" s="14"/>
      <c r="L63" s="14"/>
      <c r="M63" s="14"/>
      <c r="N63" s="14"/>
      <c r="O63" s="14"/>
      <c r="P63" s="14"/>
      <c r="Q63" s="14"/>
      <c r="R63" s="14"/>
      <c r="S63" s="15"/>
      <c r="V63" s="13"/>
      <c r="W63" s="14"/>
      <c r="X63" s="14"/>
      <c r="Y63" s="14"/>
      <c r="Z63" s="14"/>
      <c r="AA63" s="14"/>
      <c r="AB63" s="14"/>
      <c r="AC63" s="14"/>
      <c r="AD63" s="14"/>
      <c r="AE63" s="15"/>
    </row>
    <row r="64" spans="1:33" x14ac:dyDescent="0.25">
      <c r="D64" s="1">
        <v>91.693497884497546</v>
      </c>
      <c r="E64" s="1">
        <v>12.139761827848261</v>
      </c>
      <c r="F64" s="1">
        <v>79.477340820989653</v>
      </c>
      <c r="J64" s="16"/>
      <c r="S64" s="17"/>
      <c r="V64" s="16"/>
      <c r="AE64" s="17"/>
    </row>
    <row r="65" spans="4:31" x14ac:dyDescent="0.25">
      <c r="D65" s="1">
        <v>-7.9901015635194295</v>
      </c>
      <c r="E65" s="1">
        <v>11.890975181847185</v>
      </c>
      <c r="F65" s="1">
        <v>91.693497884497546</v>
      </c>
      <c r="J65" s="16"/>
      <c r="S65" s="17"/>
      <c r="V65" s="16"/>
      <c r="AE65" s="17"/>
    </row>
    <row r="66" spans="4:31" x14ac:dyDescent="0.25">
      <c r="D66" s="1">
        <v>-49.487340374807246</v>
      </c>
      <c r="E66" s="1">
        <v>11.155826340317621</v>
      </c>
      <c r="F66" s="1">
        <v>-7.9901015635194295</v>
      </c>
      <c r="J66" s="16"/>
      <c r="S66" s="17"/>
      <c r="V66" s="16"/>
      <c r="AE66" s="17"/>
    </row>
    <row r="67" spans="4:31" x14ac:dyDescent="0.25">
      <c r="D67" s="1">
        <v>-32.211181079130085</v>
      </c>
      <c r="E67" s="1">
        <v>9.3790485144275237</v>
      </c>
      <c r="F67" s="1">
        <v>-49.487340374807246</v>
      </c>
      <c r="J67" s="16"/>
      <c r="S67" s="17"/>
      <c r="V67" s="16"/>
      <c r="AE67" s="17"/>
    </row>
    <row r="68" spans="4:31" x14ac:dyDescent="0.25">
      <c r="D68" s="1">
        <v>41.850499859855965</v>
      </c>
      <c r="E68" s="1">
        <v>8.4612376894180663</v>
      </c>
      <c r="F68" s="1">
        <v>-32.211181079130085</v>
      </c>
      <c r="J68" s="16"/>
      <c r="S68" s="17"/>
      <c r="V68" s="16"/>
      <c r="AE68" s="17"/>
    </row>
    <row r="69" spans="4:31" x14ac:dyDescent="0.25">
      <c r="D69" s="1">
        <v>23.61562906965996</v>
      </c>
      <c r="E69" s="1">
        <v>7.8578679034004395</v>
      </c>
      <c r="F69" s="1">
        <v>41.850499859855965</v>
      </c>
      <c r="J69" s="16"/>
      <c r="S69" s="17"/>
      <c r="V69" s="16"/>
      <c r="AE69" s="17"/>
    </row>
    <row r="70" spans="4:31" x14ac:dyDescent="0.25">
      <c r="D70" s="1">
        <v>-3.2772651379586319</v>
      </c>
      <c r="E70" s="1">
        <v>6.6631861326085229</v>
      </c>
      <c r="F70" s="1">
        <v>23.61562906965996</v>
      </c>
      <c r="J70" s="16"/>
      <c r="S70" s="17"/>
      <c r="V70" s="16"/>
      <c r="AE70" s="17"/>
    </row>
    <row r="71" spans="4:31" x14ac:dyDescent="0.25">
      <c r="D71" s="1">
        <v>18.943774316273743</v>
      </c>
      <c r="E71" s="1">
        <v>6.5864400520244892</v>
      </c>
      <c r="F71" s="1">
        <v>-3.2772651379586319</v>
      </c>
      <c r="J71" s="16"/>
      <c r="S71" s="17"/>
      <c r="V71" s="16"/>
      <c r="AE71" s="17"/>
    </row>
    <row r="72" spans="4:31" x14ac:dyDescent="0.25">
      <c r="D72" s="1">
        <v>41.343752762099975</v>
      </c>
      <c r="E72" s="1">
        <v>7.449671240037592</v>
      </c>
      <c r="F72" s="1">
        <v>18.943774316273743</v>
      </c>
      <c r="J72" s="16"/>
      <c r="S72" s="17"/>
      <c r="V72" s="16"/>
      <c r="AE72" s="17"/>
    </row>
    <row r="73" spans="4:31" x14ac:dyDescent="0.25">
      <c r="D73" s="1">
        <v>-23.808768074740421</v>
      </c>
      <c r="E73" s="1">
        <v>7.2587857240463016</v>
      </c>
      <c r="F73" s="1">
        <v>41.343752762099975</v>
      </c>
      <c r="J73" s="16"/>
      <c r="S73" s="17"/>
      <c r="V73" s="16"/>
      <c r="AE73" s="17"/>
    </row>
    <row r="74" spans="4:31" x14ac:dyDescent="0.25">
      <c r="D74" s="1">
        <v>-18.525256438489322</v>
      </c>
      <c r="E74" s="1">
        <v>8.170817694717325</v>
      </c>
      <c r="F74" s="1">
        <v>-23.808768074740421</v>
      </c>
      <c r="J74" s="16"/>
      <c r="S74" s="17"/>
      <c r="V74" s="16"/>
      <c r="AE74" s="17"/>
    </row>
    <row r="75" spans="4:31" x14ac:dyDescent="0.25">
      <c r="D75" s="1">
        <v>8.6458252027896698</v>
      </c>
      <c r="E75" s="1">
        <v>9.015547418381864</v>
      </c>
      <c r="F75" s="1">
        <v>-18.525256438489322</v>
      </c>
      <c r="J75" s="16"/>
      <c r="S75" s="17"/>
      <c r="V75" s="16"/>
      <c r="AE75" s="17"/>
    </row>
    <row r="76" spans="4:31" x14ac:dyDescent="0.25">
      <c r="D76" s="1">
        <v>-20.548483928963424</v>
      </c>
      <c r="E76" s="1">
        <v>9.056475106341022</v>
      </c>
      <c r="F76" s="1">
        <v>8.6458252027896698</v>
      </c>
      <c r="J76" s="16"/>
      <c r="S76" s="17"/>
      <c r="V76" s="16"/>
      <c r="AE76" s="17"/>
    </row>
    <row r="77" spans="4:31" x14ac:dyDescent="0.25">
      <c r="D77" s="1">
        <v>-10.468737579321903</v>
      </c>
      <c r="E77" s="1">
        <v>10.259854185387773</v>
      </c>
      <c r="F77" s="1">
        <v>-20.548483928963424</v>
      </c>
      <c r="J77" s="16"/>
      <c r="S77" s="17"/>
      <c r="V77" s="16"/>
      <c r="AE77" s="17"/>
    </row>
    <row r="78" spans="4:31" x14ac:dyDescent="0.25">
      <c r="D78" s="1">
        <v>81.830145384882286</v>
      </c>
      <c r="E78" s="1">
        <v>11.375075597772977</v>
      </c>
      <c r="F78" s="1">
        <v>-10.468737579321903</v>
      </c>
      <c r="J78" s="16"/>
      <c r="S78" s="17"/>
      <c r="V78" s="16"/>
      <c r="AE78" s="17"/>
    </row>
    <row r="79" spans="4:31" x14ac:dyDescent="0.25">
      <c r="D79" s="1">
        <v>62.813389324865064</v>
      </c>
      <c r="E79" s="1">
        <v>12.712034125161864</v>
      </c>
      <c r="F79" s="1">
        <v>81.830145384882286</v>
      </c>
      <c r="J79" s="18"/>
      <c r="K79" s="22" t="s">
        <v>74</v>
      </c>
      <c r="L79" s="23"/>
      <c r="M79" s="23"/>
      <c r="N79" s="23"/>
      <c r="O79" s="23"/>
      <c r="P79" s="23"/>
      <c r="Q79" s="23"/>
      <c r="R79" s="23"/>
      <c r="S79" s="19"/>
      <c r="V79" s="18"/>
      <c r="W79" s="22" t="s">
        <v>75</v>
      </c>
      <c r="X79" s="23"/>
      <c r="Y79" s="23"/>
      <c r="Z79" s="23"/>
      <c r="AA79" s="23"/>
      <c r="AB79" s="23"/>
      <c r="AC79" s="23"/>
      <c r="AD79" s="23"/>
      <c r="AE79" s="19"/>
    </row>
    <row r="80" spans="4:31" x14ac:dyDescent="0.25">
      <c r="D80" s="1">
        <v>-112.04019336110933</v>
      </c>
      <c r="E80" s="1">
        <v>8.71840435188318</v>
      </c>
      <c r="F80" s="1">
        <v>62.813389324865064</v>
      </c>
    </row>
    <row r="81" spans="4:6" x14ac:dyDescent="0.25">
      <c r="D81" s="1">
        <v>59.497372717931349</v>
      </c>
      <c r="E81" s="1">
        <v>8.4891567271283108</v>
      </c>
      <c r="F81" s="1">
        <v>-112.04019336110933</v>
      </c>
    </row>
    <row r="82" spans="4:6" x14ac:dyDescent="0.25">
      <c r="D82" s="1">
        <v>-18.622412574868353</v>
      </c>
      <c r="E82" s="1">
        <v>9.5886598377340704</v>
      </c>
      <c r="F82" s="1">
        <v>59.497372717931349</v>
      </c>
    </row>
    <row r="83" spans="4:6" x14ac:dyDescent="0.25">
      <c r="D83" s="1">
        <v>-29.984657142020289</v>
      </c>
      <c r="E83" s="1">
        <v>8.4936628044561147</v>
      </c>
      <c r="F83" s="1">
        <v>-18.622412574868353</v>
      </c>
    </row>
    <row r="84" spans="4:6" x14ac:dyDescent="0.25">
      <c r="D84" s="1">
        <v>0.50080482129854298</v>
      </c>
      <c r="E84" s="1">
        <v>6.8844979303836595</v>
      </c>
      <c r="F84" s="1">
        <v>-29.984657142020289</v>
      </c>
    </row>
    <row r="85" spans="4:6" x14ac:dyDescent="0.25">
      <c r="D85" s="1">
        <v>-9.6088999931338428</v>
      </c>
      <c r="E85" s="1">
        <v>6.8249358615615208</v>
      </c>
      <c r="F85" s="1">
        <v>0.50080482129854298</v>
      </c>
    </row>
    <row r="86" spans="4:6" x14ac:dyDescent="0.25">
      <c r="D86" s="1">
        <v>40.519585343188098</v>
      </c>
      <c r="E86" s="1">
        <v>6.5662918885362132</v>
      </c>
      <c r="F86" s="1">
        <v>-9.6088999931338428</v>
      </c>
    </row>
    <row r="87" spans="4:6" x14ac:dyDescent="0.25">
      <c r="D87" s="1">
        <v>7.5596002226895358</v>
      </c>
      <c r="E87" s="1">
        <v>6.164574983107407</v>
      </c>
      <c r="F87" s="1">
        <v>40.519585343188098</v>
      </c>
    </row>
    <row r="88" spans="4:6" x14ac:dyDescent="0.25">
      <c r="D88" s="1">
        <v>-15.132099561098546</v>
      </c>
      <c r="E88" s="1">
        <v>5.9828325396134474</v>
      </c>
      <c r="F88" s="1">
        <v>7.5596002226895358</v>
      </c>
    </row>
    <row r="89" spans="4:6" x14ac:dyDescent="0.25">
      <c r="D89" s="1">
        <v>4.7587433920011719</v>
      </c>
      <c r="E89" s="1">
        <v>6.0589479432271887</v>
      </c>
      <c r="F89" s="1">
        <v>-15.132099561098546</v>
      </c>
    </row>
    <row r="90" spans="4:6" x14ac:dyDescent="0.25">
      <c r="D90" s="1">
        <v>-30.299520122151417</v>
      </c>
      <c r="E90" s="1">
        <v>6.0705675705818862</v>
      </c>
      <c r="F90" s="1">
        <v>4.7587433920011719</v>
      </c>
    </row>
    <row r="91" spans="4:6" x14ac:dyDescent="0.25">
      <c r="D91" s="1">
        <v>17.234375758659997</v>
      </c>
      <c r="E91" s="1">
        <v>5.5367539083539086</v>
      </c>
      <c r="F91" s="1">
        <v>-30.299520122151417</v>
      </c>
    </row>
    <row r="92" spans="4:6" x14ac:dyDescent="0.25">
      <c r="D92" s="1">
        <v>10.566217663786784</v>
      </c>
      <c r="E92" s="1">
        <v>2.0751849908078768</v>
      </c>
      <c r="F92" s="1">
        <v>17.234375758659997</v>
      </c>
    </row>
    <row r="93" spans="4:6" x14ac:dyDescent="0.25">
      <c r="D93" s="1">
        <v>3.707307408162575</v>
      </c>
      <c r="E93" s="1">
        <v>8.1333202372697144</v>
      </c>
      <c r="F93" s="1">
        <v>10.566217663786784</v>
      </c>
    </row>
    <row r="94" spans="4:6" x14ac:dyDescent="0.25">
      <c r="D94" s="1">
        <v>-18.372668950110565</v>
      </c>
      <c r="E94" s="1">
        <v>3.099175392365261</v>
      </c>
      <c r="F94" s="1">
        <v>3.707307408162575</v>
      </c>
    </row>
    <row r="95" spans="4:6" x14ac:dyDescent="0.25">
      <c r="D95" s="1">
        <v>-4.0057110893642749</v>
      </c>
      <c r="E95" s="1">
        <v>5.3771213802397355</v>
      </c>
      <c r="F95" s="1">
        <v>-18.372668950110565</v>
      </c>
    </row>
    <row r="96" spans="4:6" x14ac:dyDescent="0.25">
      <c r="D96" s="1">
        <v>11.708299665910582</v>
      </c>
      <c r="E96" s="1">
        <v>4.9805123479865543</v>
      </c>
      <c r="F96" s="1">
        <v>-4.0057110893642749</v>
      </c>
    </row>
  </sheetData>
  <mergeCells count="17">
    <mergeCell ref="A54:G54"/>
    <mergeCell ref="A20:E20"/>
    <mergeCell ref="A26:E26"/>
    <mergeCell ref="A35:E35"/>
    <mergeCell ref="A3:E3"/>
    <mergeCell ref="A22:B22"/>
    <mergeCell ref="A23:B23"/>
    <mergeCell ref="A21:B21"/>
    <mergeCell ref="A44:F44"/>
    <mergeCell ref="K59:R59"/>
    <mergeCell ref="W59:AD59"/>
    <mergeCell ref="K79:R79"/>
    <mergeCell ref="W79:AD79"/>
    <mergeCell ref="K19:R19"/>
    <mergeCell ref="W19:AD19"/>
    <mergeCell ref="K39:R39"/>
    <mergeCell ref="W39:AD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B9A2-2662-4CA1-BF15-62255710D312}">
  <dimension ref="A1:E42"/>
  <sheetViews>
    <sheetView zoomScale="90" zoomScaleNormal="90" workbookViewId="0">
      <selection activeCell="G16" sqref="G16"/>
    </sheetView>
  </sheetViews>
  <sheetFormatPr defaultRowHeight="15" x14ac:dyDescent="0.25"/>
  <cols>
    <col min="1" max="1" width="10" bestFit="1" customWidth="1"/>
  </cols>
  <sheetData>
    <row r="1" spans="1:5" x14ac:dyDescent="0.25">
      <c r="A1" s="2" t="s">
        <v>1</v>
      </c>
      <c r="B1" s="2" t="s">
        <v>3</v>
      </c>
      <c r="D1" s="2" t="s">
        <v>2</v>
      </c>
      <c r="E1" s="2" t="s">
        <v>4</v>
      </c>
    </row>
    <row r="2" spans="1:5" x14ac:dyDescent="0.25">
      <c r="A2" s="1">
        <v>79.477340820989653</v>
      </c>
      <c r="B2" s="1">
        <v>15.919407981614102</v>
      </c>
      <c r="D2" s="1">
        <v>7.5846230668753734</v>
      </c>
      <c r="E2" s="1">
        <v>2.4776165224510649</v>
      </c>
    </row>
    <row r="3" spans="1:5" x14ac:dyDescent="0.25">
      <c r="A3" s="1">
        <v>91.693497884497546</v>
      </c>
      <c r="B3" s="1">
        <v>7.5916844992839048</v>
      </c>
      <c r="D3" s="1">
        <v>12.139761827848261</v>
      </c>
      <c r="E3" s="1">
        <v>3.3091660890946173</v>
      </c>
    </row>
    <row r="4" spans="1:5" x14ac:dyDescent="0.25">
      <c r="A4" s="1">
        <v>-7.9901015635194295</v>
      </c>
      <c r="B4" s="1">
        <v>13.849030606578776</v>
      </c>
      <c r="D4" s="1">
        <v>11.890975181847185</v>
      </c>
      <c r="E4" s="1">
        <v>3.7023160279424872</v>
      </c>
    </row>
    <row r="5" spans="1:5" x14ac:dyDescent="0.25">
      <c r="A5" s="1">
        <v>-49.487340374807246</v>
      </c>
      <c r="B5" s="1">
        <v>-2.1616528644511943</v>
      </c>
      <c r="D5" s="1">
        <v>11.155826340317621</v>
      </c>
      <c r="E5" s="1">
        <v>4.2484411304481995</v>
      </c>
    </row>
    <row r="6" spans="1:5" x14ac:dyDescent="0.25">
      <c r="A6" s="1">
        <v>-32.211181079130085</v>
      </c>
      <c r="B6" s="1">
        <v>0.4321375701685044</v>
      </c>
      <c r="D6" s="1">
        <v>9.3790485144275237</v>
      </c>
      <c r="E6" s="1">
        <v>4.6875209970314913</v>
      </c>
    </row>
    <row r="7" spans="1:5" x14ac:dyDescent="0.25">
      <c r="A7" s="1">
        <v>41.850499859855965</v>
      </c>
      <c r="B7" s="1">
        <v>24.333416427976687</v>
      </c>
      <c r="D7" s="1">
        <v>8.4612376894180663</v>
      </c>
      <c r="E7" s="1">
        <v>1.995499452812588</v>
      </c>
    </row>
    <row r="8" spans="1:5" x14ac:dyDescent="0.25">
      <c r="A8" s="1">
        <v>23.61562906965996</v>
      </c>
      <c r="B8" s="1">
        <v>-20.312387651159778</v>
      </c>
      <c r="D8" s="1">
        <v>7.8578679034004395</v>
      </c>
      <c r="E8" s="1">
        <v>0.47731496953371533</v>
      </c>
    </row>
    <row r="9" spans="1:5" x14ac:dyDescent="0.25">
      <c r="A9" s="1">
        <v>-3.2772651379586319</v>
      </c>
      <c r="B9" s="1">
        <v>7.6515733179970544</v>
      </c>
      <c r="D9" s="1">
        <v>6.6631861326085229</v>
      </c>
      <c r="E9" s="1">
        <v>-1.6101123502586745</v>
      </c>
    </row>
    <row r="10" spans="1:5" x14ac:dyDescent="0.25">
      <c r="A10" s="1">
        <v>18.943774316273743</v>
      </c>
      <c r="B10" s="1">
        <v>8.6647760399829927</v>
      </c>
      <c r="D10" s="1">
        <v>6.5864400520244892</v>
      </c>
      <c r="E10" s="1">
        <v>1.0159873553126531</v>
      </c>
    </row>
    <row r="11" spans="1:5" x14ac:dyDescent="0.25">
      <c r="A11" s="1">
        <v>41.343752762099975</v>
      </c>
      <c r="B11" s="1">
        <v>15.74966562457073</v>
      </c>
      <c r="D11" s="1">
        <v>7.449671240037592</v>
      </c>
      <c r="E11" s="1">
        <v>3.1912059371469681</v>
      </c>
    </row>
    <row r="12" spans="1:5" x14ac:dyDescent="0.25">
      <c r="A12" s="1">
        <v>-23.808768074740421</v>
      </c>
      <c r="B12" s="1">
        <v>-13.115204317749242</v>
      </c>
      <c r="D12" s="1">
        <v>7.2587857240463016</v>
      </c>
      <c r="E12" s="1">
        <v>4.5800495386902895</v>
      </c>
    </row>
    <row r="13" spans="1:5" x14ac:dyDescent="0.25">
      <c r="A13" s="1">
        <v>-18.525256438489322</v>
      </c>
      <c r="B13" s="1">
        <v>15.825109810868707</v>
      </c>
      <c r="D13" s="1">
        <v>8.170817694717325</v>
      </c>
      <c r="E13" s="1">
        <v>3.207851852242527</v>
      </c>
    </row>
    <row r="14" spans="1:5" x14ac:dyDescent="0.25">
      <c r="A14" s="1">
        <v>8.6458252027896698</v>
      </c>
      <c r="B14" s="1">
        <v>8.1534457599654662</v>
      </c>
      <c r="D14" s="1">
        <v>9.015547418381864</v>
      </c>
      <c r="E14" s="1">
        <v>2.3266853133959486</v>
      </c>
    </row>
    <row r="15" spans="1:5" x14ac:dyDescent="0.25">
      <c r="A15" s="1">
        <v>-20.548483928963424</v>
      </c>
      <c r="B15" s="1">
        <v>19.867675887346877</v>
      </c>
      <c r="D15" s="1">
        <v>9.056475106341022</v>
      </c>
      <c r="E15" s="1">
        <v>4.5070980110612169</v>
      </c>
    </row>
    <row r="16" spans="1:5" x14ac:dyDescent="0.25">
      <c r="A16" s="1">
        <v>-10.468737579321903</v>
      </c>
      <c r="B16" s="1">
        <v>11.761601505302139</v>
      </c>
      <c r="D16" s="1">
        <v>10.259854185387773</v>
      </c>
      <c r="E16" s="1">
        <v>2.9033292631167384</v>
      </c>
    </row>
    <row r="17" spans="1:5" x14ac:dyDescent="0.25">
      <c r="A17" s="1">
        <v>81.830145384882286</v>
      </c>
      <c r="B17" s="1">
        <v>14.636032375918759</v>
      </c>
      <c r="D17" s="1">
        <v>11.375075597772977</v>
      </c>
      <c r="E17" s="1">
        <v>2.5685362043290638</v>
      </c>
    </row>
    <row r="18" spans="1:5" x14ac:dyDescent="0.25">
      <c r="A18" s="1">
        <v>62.813389324865064</v>
      </c>
      <c r="B18" s="1">
        <v>-11.954647997565967</v>
      </c>
      <c r="D18" s="1">
        <v>12.712034125161864</v>
      </c>
      <c r="E18" s="1">
        <v>4.0677157924683627</v>
      </c>
    </row>
    <row r="19" spans="1:5" x14ac:dyDescent="0.25">
      <c r="A19" s="1">
        <v>-112.04019336110933</v>
      </c>
      <c r="B19" s="1">
        <v>-19.149605776867851</v>
      </c>
      <c r="D19" s="1">
        <v>8.71840435188318</v>
      </c>
      <c r="E19" s="1">
        <v>1.9779090187833859</v>
      </c>
    </row>
    <row r="20" spans="1:5" x14ac:dyDescent="0.25">
      <c r="A20" s="1">
        <v>59.497372717931349</v>
      </c>
      <c r="B20" s="1">
        <v>-29.592097711353286</v>
      </c>
      <c r="D20" s="1">
        <v>8.4891567271283108</v>
      </c>
      <c r="E20" s="1">
        <v>1.2712506957907266</v>
      </c>
    </row>
    <row r="21" spans="1:5" x14ac:dyDescent="0.25">
      <c r="A21" s="1">
        <v>-18.622412574868353</v>
      </c>
      <c r="B21" s="1">
        <v>11.388359776980685</v>
      </c>
      <c r="D21" s="1">
        <v>9.5886598377340704</v>
      </c>
      <c r="E21" s="1">
        <v>2.7021659661853548</v>
      </c>
    </row>
    <row r="22" spans="1:5" x14ac:dyDescent="0.25">
      <c r="A22" s="1">
        <v>-29.984657142020289</v>
      </c>
      <c r="B22" s="1">
        <v>5.8755837366214418</v>
      </c>
      <c r="D22" s="1">
        <v>8.4936628044561147</v>
      </c>
      <c r="E22" s="1">
        <v>1.7304359110946521</v>
      </c>
    </row>
    <row r="23" spans="1:5" x14ac:dyDescent="0.25">
      <c r="A23" s="1">
        <v>0.50080482129854298</v>
      </c>
      <c r="B23" s="1">
        <v>13.363609741445979</v>
      </c>
      <c r="D23" s="1">
        <v>6.8844979303836595</v>
      </c>
      <c r="E23" s="1">
        <v>2.0658142422290027</v>
      </c>
    </row>
    <row r="24" spans="1:5" x14ac:dyDescent="0.25">
      <c r="A24" s="1">
        <v>-9.6088999931338428</v>
      </c>
      <c r="B24" s="1">
        <v>7.7223781225381591</v>
      </c>
      <c r="D24" s="1">
        <v>6.8249358615615208</v>
      </c>
      <c r="E24" s="1">
        <v>1.4311404383283488</v>
      </c>
    </row>
    <row r="25" spans="1:5" x14ac:dyDescent="0.25">
      <c r="A25" s="1">
        <v>40.519585343188098</v>
      </c>
      <c r="B25" s="1">
        <v>1.3385195534844021</v>
      </c>
      <c r="D25" s="1">
        <v>6.5662918885362132</v>
      </c>
      <c r="E25" s="1">
        <v>2.110115232462384</v>
      </c>
    </row>
    <row r="26" spans="1:5" x14ac:dyDescent="0.25">
      <c r="A26" s="1">
        <v>7.5596002226895358</v>
      </c>
      <c r="B26" s="1">
        <v>-41.102296153196839</v>
      </c>
      <c r="D26" s="1">
        <v>6.164574983107407</v>
      </c>
      <c r="E26" s="1">
        <v>-0.83645650664898596</v>
      </c>
    </row>
    <row r="27" spans="1:5" x14ac:dyDescent="0.25">
      <c r="A27" s="1">
        <v>-15.132099561098546</v>
      </c>
      <c r="B27" s="1">
        <v>17.982353080194457</v>
      </c>
      <c r="D27" s="1">
        <v>5.9828325396134474</v>
      </c>
      <c r="E27" s="1">
        <v>-5.4523535240729615</v>
      </c>
    </row>
    <row r="28" spans="1:5" x14ac:dyDescent="0.25">
      <c r="A28" s="1">
        <v>4.7587433920011719</v>
      </c>
      <c r="B28" s="1">
        <v>6.1234335405386702</v>
      </c>
      <c r="D28" s="1">
        <v>6.0589479432271887</v>
      </c>
      <c r="E28" s="1">
        <v>1.4514842914740811</v>
      </c>
    </row>
    <row r="29" spans="1:5" x14ac:dyDescent="0.25">
      <c r="A29" s="1">
        <v>-30.299520122151417</v>
      </c>
      <c r="B29" s="1">
        <v>-9.5698999925433217</v>
      </c>
      <c r="D29" s="1">
        <v>6.0705675705818862</v>
      </c>
      <c r="E29" s="1">
        <v>6.632689005421355E-2</v>
      </c>
    </row>
    <row r="30" spans="1:5" x14ac:dyDescent="0.25">
      <c r="A30" s="1">
        <v>17.234375758659997</v>
      </c>
      <c r="B30" s="1">
        <v>3.1044441687515061</v>
      </c>
      <c r="D30" s="1">
        <v>5.5367539083539086</v>
      </c>
      <c r="E30" s="1">
        <v>0.80441751234783254</v>
      </c>
    </row>
    <row r="31" spans="1:5" x14ac:dyDescent="0.25">
      <c r="A31" s="1">
        <v>10.566217663786784</v>
      </c>
      <c r="B31" s="1">
        <v>11.19099187503684</v>
      </c>
      <c r="D31" s="1">
        <v>2.0751849908078768</v>
      </c>
      <c r="E31" s="1">
        <v>1.034333823882605</v>
      </c>
    </row>
    <row r="32" spans="1:5" x14ac:dyDescent="0.25">
      <c r="A32" s="1">
        <v>3.707307408162575</v>
      </c>
      <c r="B32" s="1">
        <v>-4.2000356649830213</v>
      </c>
      <c r="D32" s="1">
        <v>8.1333202372697144</v>
      </c>
      <c r="E32" s="1">
        <v>2.3641319871586575</v>
      </c>
    </row>
    <row r="33" spans="1:5" x14ac:dyDescent="0.25">
      <c r="A33" s="1">
        <v>-18.372668950110565</v>
      </c>
      <c r="B33" s="1">
        <v>-5.4247086229496988</v>
      </c>
      <c r="D33" s="1">
        <v>3.099175392365261</v>
      </c>
      <c r="E33" s="1">
        <v>1.396196621721657</v>
      </c>
    </row>
    <row r="34" spans="1:5" x14ac:dyDescent="0.25">
      <c r="A34" s="1">
        <v>-4.0057110893642749</v>
      </c>
      <c r="B34" s="1">
        <v>12.467297452992776</v>
      </c>
      <c r="D34" s="1">
        <v>5.3771213802397355</v>
      </c>
      <c r="E34" s="1">
        <v>1.3883091094882616</v>
      </c>
    </row>
    <row r="35" spans="1:5" x14ac:dyDescent="0.25">
      <c r="A35" s="1">
        <v>11.708299665910582</v>
      </c>
      <c r="B35" s="1">
        <v>4.7944140345705426</v>
      </c>
      <c r="D35" s="1">
        <v>4.9805123479865543</v>
      </c>
      <c r="E35" s="1">
        <v>2.432717486573388</v>
      </c>
    </row>
    <row r="36" spans="1:5" x14ac:dyDescent="0.25">
      <c r="B36" s="1">
        <v>-15.626190878227824</v>
      </c>
      <c r="E36" s="1">
        <v>1.0509695178908984</v>
      </c>
    </row>
    <row r="37" spans="1:5" x14ac:dyDescent="0.25">
      <c r="B37" s="1">
        <v>9.6867446369270152</v>
      </c>
      <c r="E37" s="1">
        <v>0.73387665771047494</v>
      </c>
    </row>
    <row r="38" spans="1:5" x14ac:dyDescent="0.25">
      <c r="B38" s="1">
        <v>-16.473079422408489</v>
      </c>
      <c r="E38" s="1">
        <v>-10.758731306144043</v>
      </c>
    </row>
    <row r="39" spans="1:5" x14ac:dyDescent="0.25">
      <c r="B39" s="1">
        <v>10.84951047484692</v>
      </c>
      <c r="E39" s="1">
        <v>7.8387872966315442</v>
      </c>
    </row>
    <row r="40" spans="1:5" x14ac:dyDescent="0.25">
      <c r="B40" s="1">
        <v>-7.0161551767405212</v>
      </c>
      <c r="E40" s="1">
        <v>4.1001532045157774</v>
      </c>
    </row>
    <row r="41" spans="1:5" x14ac:dyDescent="0.25">
      <c r="B41" s="1">
        <v>-3.0859311881836193</v>
      </c>
      <c r="E41" s="1">
        <v>-1.0336979766186971</v>
      </c>
    </row>
    <row r="42" spans="1:5" x14ac:dyDescent="0.25">
      <c r="B42" s="1">
        <v>2.2594835183455757</v>
      </c>
      <c r="E42" s="1">
        <v>5.4169325261455015E-2</v>
      </c>
    </row>
  </sheetData>
  <conditionalFormatting sqref="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China</vt:lpstr>
      <vt:lpstr>Findings</vt:lpstr>
      <vt:lpstr>Temporary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 Nguyen</dc:creator>
  <cp:lastModifiedBy>Binh Nguyen</cp:lastModifiedBy>
  <dcterms:created xsi:type="dcterms:W3CDTF">2026-04-25T02:41:23Z</dcterms:created>
  <dcterms:modified xsi:type="dcterms:W3CDTF">2026-05-06T13:01:52Z</dcterms:modified>
</cp:coreProperties>
</file>