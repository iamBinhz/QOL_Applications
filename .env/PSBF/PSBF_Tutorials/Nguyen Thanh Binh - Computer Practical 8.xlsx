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Đóc-cu-mừn\University Documents IBD-NEU\PSBF\"/>
    </mc:Choice>
  </mc:AlternateContent>
  <xr:revisionPtr revIDLastSave="0" documentId="13_ncr:1_{1A63F36B-FF2D-424B-A151-D77519975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" sheetId="11" r:id="rId1"/>
    <sheet name="Linear" sheetId="6" r:id="rId2"/>
  </sheets>
  <definedNames>
    <definedName name="_xlnm.Print_Area" localSheetId="0">Pay!$A$1:$Q$81</definedName>
  </definedNames>
  <calcPr calcId="191029"/>
</workbook>
</file>

<file path=xl/calcChain.xml><?xml version="1.0" encoding="utf-8"?>
<calcChain xmlns="http://schemas.openxmlformats.org/spreadsheetml/2006/main">
  <c r="C8" i="11" l="1"/>
  <c r="D8" i="11"/>
  <c r="E8" i="11"/>
  <c r="F8" i="11"/>
  <c r="G8" i="11"/>
  <c r="H8" i="11"/>
  <c r="B8" i="11"/>
  <c r="D8" i="6"/>
  <c r="E8" i="6"/>
  <c r="F8" i="6"/>
  <c r="G8" i="6"/>
  <c r="H8" i="6"/>
  <c r="I8" i="6"/>
  <c r="J8" i="6"/>
  <c r="C8" i="6"/>
  <c r="B8" i="6"/>
  <c r="C7" i="6"/>
  <c r="D7" i="6"/>
  <c r="E7" i="6"/>
  <c r="F7" i="6"/>
  <c r="G7" i="6"/>
  <c r="H7" i="6"/>
  <c r="I7" i="6"/>
  <c r="J7" i="6"/>
  <c r="B7" i="6"/>
  <c r="C7" i="11"/>
  <c r="D7" i="11"/>
  <c r="E7" i="11"/>
  <c r="F7" i="11"/>
  <c r="G7" i="11"/>
  <c r="H7" i="11"/>
  <c r="B7" i="11"/>
  <c r="C6" i="11"/>
  <c r="D6" i="11"/>
  <c r="E6" i="11"/>
  <c r="F6" i="11"/>
  <c r="G6" i="11"/>
  <c r="H6" i="11"/>
  <c r="B6" i="11"/>
  <c r="I4" i="11"/>
  <c r="C4" i="11"/>
  <c r="D4" i="11"/>
  <c r="E4" i="11"/>
  <c r="F4" i="11"/>
  <c r="G4" i="11"/>
  <c r="H4" i="11"/>
  <c r="B4" i="11"/>
  <c r="I8" i="11" l="1"/>
  <c r="I9" i="11" s="1"/>
</calcChain>
</file>

<file path=xl/sharedStrings.xml><?xml version="1.0" encoding="utf-8"?>
<sst xmlns="http://schemas.openxmlformats.org/spreadsheetml/2006/main" count="29" uniqueCount="29">
  <si>
    <t>Name (initials)</t>
  </si>
  <si>
    <t>RC</t>
  </si>
  <si>
    <t>JE</t>
  </si>
  <si>
    <t>TM</t>
  </si>
  <si>
    <t>EOG</t>
  </si>
  <si>
    <t>TMcG</t>
  </si>
  <si>
    <t>LF</t>
  </si>
  <si>
    <t>MMcM</t>
  </si>
  <si>
    <t>Hours worked</t>
  </si>
  <si>
    <t>Total Pay</t>
  </si>
  <si>
    <t>Basic Hours</t>
  </si>
  <si>
    <t>Overtime Hours</t>
  </si>
  <si>
    <t>Weekly Pay (With OT)</t>
  </si>
  <si>
    <t>Weekly Pay (Without OT)</t>
  </si>
  <si>
    <t>Rate per hour (£)</t>
  </si>
  <si>
    <t>Percentage Change</t>
  </si>
  <si>
    <t>Fixed cost</t>
  </si>
  <si>
    <t>Variable costs</t>
  </si>
  <si>
    <t>Price/Charge</t>
  </si>
  <si>
    <t>Quantity</t>
  </si>
  <si>
    <t>Total cost (in thousands)</t>
  </si>
  <si>
    <t>Total revenue (in thousands)</t>
  </si>
  <si>
    <t>Total Cost Chart:</t>
  </si>
  <si>
    <t>EQUILIBRIUM</t>
  </si>
  <si>
    <t>a) The lines cross at the point where Quantity equals 15 houses, and Price equals €300,000</t>
  </si>
  <si>
    <t>b) Break-even point: TR = TC</t>
  </si>
  <si>
    <t>&lt;=&gt; 240 + 4Q = 20Q</t>
  </si>
  <si>
    <t>&lt;=&gt; 16Q = 240</t>
  </si>
  <si>
    <t>&lt;=&gt; Q* = 15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</si>
</sst>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€-2]\ #,##0;[Red]\-[$€-2]\ #,##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4" fillId="0" borderId="1" xfId="3" applyFont="1" applyBorder="1" applyAlignment="1">
      <alignment horizontal="center" vertical="center" wrapText="1"/>
    </xf>
    <xf numFmtId="0" fontId="5" fillId="0" borderId="0" xfId="3" applyFont="1"/>
    <xf numFmtId="0" fontId="4" fillId="0" borderId="0" xfId="3" applyFont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0" borderId="1" xfId="3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10" fontId="5" fillId="0" borderId="0" xfId="4" applyNumberFormat="1" applyFont="1"/>
    <xf numFmtId="0" fontId="4" fillId="0" borderId="0" xfId="3" applyFont="1" applyAlignment="1">
      <alignment vertical="center" wrapText="1"/>
    </xf>
    <xf numFmtId="0" fontId="6" fillId="0" borderId="1" xfId="5" applyNumberFormat="1" applyFont="1" applyBorder="1" applyAlignment="1">
      <alignment horizontal="center"/>
    </xf>
    <xf numFmtId="0" fontId="5" fillId="0" borderId="1" xfId="3" applyNumberFormat="1" applyFont="1" applyBorder="1" applyAlignment="1">
      <alignment horizontal="center"/>
    </xf>
    <xf numFmtId="0" fontId="5" fillId="0" borderId="1" xfId="4" applyNumberFormat="1" applyFont="1" applyBorder="1" applyAlignment="1">
      <alignment horizontal="center"/>
    </xf>
    <xf numFmtId="0" fontId="4" fillId="0" borderId="1" xfId="3" applyNumberFormat="1" applyFont="1" applyBorder="1" applyAlignment="1">
      <alignment horizontal="left" vertical="center" wrapText="1"/>
    </xf>
    <xf numFmtId="9" fontId="5" fillId="0" borderId="1" xfId="5" applyFont="1" applyBorder="1" applyAlignment="1">
      <alignment horizontal="center"/>
    </xf>
    <xf numFmtId="10" fontId="5" fillId="0" borderId="1" xfId="5" applyNumberFormat="1" applyFont="1" applyBorder="1" applyAlignment="1">
      <alignment horizontal="center"/>
    </xf>
    <xf numFmtId="0" fontId="5" fillId="0" borderId="0" xfId="3" applyFont="1" applyBorder="1" applyAlignment="1">
      <alignment horizontal="left"/>
    </xf>
    <xf numFmtId="0" fontId="5" fillId="0" borderId="0" xfId="3" applyFont="1" applyBorder="1" applyAlignment="1">
      <alignment horizontal="center"/>
    </xf>
    <xf numFmtId="0" fontId="6" fillId="0" borderId="0" xfId="1" applyFont="1"/>
    <xf numFmtId="0" fontId="6" fillId="0" borderId="1" xfId="1" applyFont="1" applyBorder="1"/>
    <xf numFmtId="171" fontId="6" fillId="0" borderId="1" xfId="0" applyNumberFormat="1" applyFont="1" applyBorder="1"/>
    <xf numFmtId="171" fontId="6" fillId="0" borderId="1" xfId="1" applyNumberFormat="1" applyFont="1" applyBorder="1"/>
    <xf numFmtId="0" fontId="6" fillId="0" borderId="0" xfId="1" applyFont="1" applyAlignment="1"/>
    <xf numFmtId="0" fontId="7" fillId="0" borderId="0" xfId="1" applyFont="1" applyAlignment="1"/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" xfId="5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</a:t>
            </a:r>
            <a:r>
              <a:rPr lang="en-US" b="1" baseline="0"/>
              <a:t> Pay for Each Member of Staff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Pay!$B$1:$H$1</c:f>
              <c:strCache>
                <c:ptCount val="7"/>
                <c:pt idx="0">
                  <c:v>RC</c:v>
                </c:pt>
                <c:pt idx="1">
                  <c:v>JE</c:v>
                </c:pt>
                <c:pt idx="2">
                  <c:v>TM</c:v>
                </c:pt>
                <c:pt idx="3">
                  <c:v>EOG</c:v>
                </c:pt>
                <c:pt idx="4">
                  <c:v>TMcG</c:v>
                </c:pt>
                <c:pt idx="5">
                  <c:v>LF</c:v>
                </c:pt>
                <c:pt idx="6">
                  <c:v>MMcM</c:v>
                </c:pt>
              </c:strCache>
            </c:strRef>
          </c:cat>
          <c:val>
            <c:numRef>
              <c:f>Pay!$B$4:$H$4</c:f>
              <c:numCache>
                <c:formatCode>General</c:formatCode>
                <c:ptCount val="7"/>
                <c:pt idx="0">
                  <c:v>1033.2</c:v>
                </c:pt>
                <c:pt idx="1">
                  <c:v>857.5</c:v>
                </c:pt>
                <c:pt idx="2">
                  <c:v>190</c:v>
                </c:pt>
                <c:pt idx="3">
                  <c:v>858</c:v>
                </c:pt>
                <c:pt idx="4">
                  <c:v>1803.2000000000003</c:v>
                </c:pt>
                <c:pt idx="5">
                  <c:v>1800</c:v>
                </c:pt>
                <c:pt idx="6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5-481F-ACB4-894056BC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2104259087"/>
        <c:axId val="2103692239"/>
      </c:barChart>
      <c:catAx>
        <c:axId val="2104259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92239"/>
        <c:crosses val="autoZero"/>
        <c:auto val="1"/>
        <c:lblAlgn val="ctr"/>
        <c:lblOffset val="100"/>
        <c:noMultiLvlLbl val="0"/>
      </c:catAx>
      <c:valAx>
        <c:axId val="21036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£  weekly pay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25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Weekly Pay for Each Member of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Pay!$A$4</c:f>
              <c:strCache>
                <c:ptCount val="1"/>
                <c:pt idx="0">
                  <c:v>Weekly Pay (Without 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Pay!$B$1:$H$1</c:f>
              <c:strCache>
                <c:ptCount val="7"/>
                <c:pt idx="0">
                  <c:v>RC</c:v>
                </c:pt>
                <c:pt idx="1">
                  <c:v>JE</c:v>
                </c:pt>
                <c:pt idx="2">
                  <c:v>TM</c:v>
                </c:pt>
                <c:pt idx="3">
                  <c:v>EOG</c:v>
                </c:pt>
                <c:pt idx="4">
                  <c:v>TMcG</c:v>
                </c:pt>
                <c:pt idx="5">
                  <c:v>LF</c:v>
                </c:pt>
                <c:pt idx="6">
                  <c:v>MMcM</c:v>
                </c:pt>
              </c:strCache>
            </c:strRef>
          </c:cat>
          <c:val>
            <c:numRef>
              <c:f>Pay!$B$4:$H$4</c:f>
              <c:numCache>
                <c:formatCode>General</c:formatCode>
                <c:ptCount val="7"/>
                <c:pt idx="0">
                  <c:v>1033.2</c:v>
                </c:pt>
                <c:pt idx="1">
                  <c:v>857.5</c:v>
                </c:pt>
                <c:pt idx="2">
                  <c:v>190</c:v>
                </c:pt>
                <c:pt idx="3">
                  <c:v>858</c:v>
                </c:pt>
                <c:pt idx="4">
                  <c:v>1803.2000000000003</c:v>
                </c:pt>
                <c:pt idx="5">
                  <c:v>1800</c:v>
                </c:pt>
                <c:pt idx="6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C-45EA-86F7-2A8C5D38BF73}"/>
            </c:ext>
          </c:extLst>
        </c:ser>
        <c:ser>
          <c:idx val="1"/>
          <c:order val="1"/>
          <c:tx>
            <c:strRef>
              <c:f>Pay!$A$8</c:f>
              <c:strCache>
                <c:ptCount val="1"/>
                <c:pt idx="0">
                  <c:v>Weekly Pay (With OT)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Pay!$B$1:$H$1</c:f>
              <c:strCache>
                <c:ptCount val="7"/>
                <c:pt idx="0">
                  <c:v>RC</c:v>
                </c:pt>
                <c:pt idx="1">
                  <c:v>JE</c:v>
                </c:pt>
                <c:pt idx="2">
                  <c:v>TM</c:v>
                </c:pt>
                <c:pt idx="3">
                  <c:v>EOG</c:v>
                </c:pt>
                <c:pt idx="4">
                  <c:v>TMcG</c:v>
                </c:pt>
                <c:pt idx="5">
                  <c:v>LF</c:v>
                </c:pt>
                <c:pt idx="6">
                  <c:v>MMcM</c:v>
                </c:pt>
              </c:strCache>
            </c:strRef>
          </c:cat>
          <c:val>
            <c:numRef>
              <c:f>Pay!$B$8:$H$8</c:f>
              <c:numCache>
                <c:formatCode>General</c:formatCode>
                <c:ptCount val="7"/>
                <c:pt idx="0">
                  <c:v>1045.8</c:v>
                </c:pt>
                <c:pt idx="1">
                  <c:v>857.5</c:v>
                </c:pt>
                <c:pt idx="2">
                  <c:v>190</c:v>
                </c:pt>
                <c:pt idx="3">
                  <c:v>957</c:v>
                </c:pt>
                <c:pt idx="4">
                  <c:v>2060.8000000000002</c:v>
                </c:pt>
                <c:pt idx="5">
                  <c:v>1800</c:v>
                </c:pt>
                <c:pt idx="6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C-45EA-86F7-2A8C5D38B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697583"/>
        <c:axId val="792697103"/>
      </c:barChart>
      <c:catAx>
        <c:axId val="79269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697103"/>
        <c:crosses val="autoZero"/>
        <c:auto val="1"/>
        <c:lblAlgn val="ctr"/>
        <c:lblOffset val="100"/>
        <c:noMultiLvlLbl val="0"/>
      </c:catAx>
      <c:valAx>
        <c:axId val="79269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£ weekly pay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69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Linear!$A$7</c:f>
              <c:strCache>
                <c:ptCount val="1"/>
                <c:pt idx="0">
                  <c:v>Total cost (in thousands)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Linear!$B$6:$J$6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cat>
          <c:val>
            <c:numRef>
              <c:f>Linear!$B$7:$J$7</c:f>
              <c:numCache>
                <c:formatCode>[$€-2]\ #,##0;[Red]\-[$€-2]\ #,##0</c:formatCode>
                <c:ptCount val="9"/>
                <c:pt idx="0">
                  <c:v>240</c:v>
                </c:pt>
                <c:pt idx="1">
                  <c:v>260</c:v>
                </c:pt>
                <c:pt idx="2">
                  <c:v>280</c:v>
                </c:pt>
                <c:pt idx="3">
                  <c:v>300</c:v>
                </c:pt>
                <c:pt idx="4">
                  <c:v>320</c:v>
                </c:pt>
                <c:pt idx="5">
                  <c:v>340</c:v>
                </c:pt>
                <c:pt idx="6">
                  <c:v>360</c:v>
                </c:pt>
                <c:pt idx="7">
                  <c:v>380</c:v>
                </c:pt>
                <c:pt idx="8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F-475D-8AA1-9F0F6D8F848A}"/>
            </c:ext>
          </c:extLst>
        </c:ser>
        <c:ser>
          <c:idx val="1"/>
          <c:order val="1"/>
          <c:tx>
            <c:strRef>
              <c:f>Linear!$A$8</c:f>
              <c:strCache>
                <c:ptCount val="1"/>
                <c:pt idx="0">
                  <c:v>Total revenue (in thousands)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Linear!$B$6:$J$6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cat>
          <c:val>
            <c:numRef>
              <c:f>Linear!$B$8:$J$8</c:f>
              <c:numCache>
                <c:formatCode>[$€-2]\ #,##0;[Red]\-[$€-2]\ #,##0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CF-475D-8AA1-9F0F6D8F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421311"/>
        <c:axId val="473422271"/>
      </c:lineChart>
      <c:catAx>
        <c:axId val="4734213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22271"/>
        <c:crosses val="autoZero"/>
        <c:auto val="1"/>
        <c:lblAlgn val="ctr"/>
        <c:lblOffset val="100"/>
        <c:noMultiLvlLbl val="0"/>
      </c:catAx>
      <c:valAx>
        <c:axId val="4734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 (in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€-2]\ #,##0;[Red]\-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2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304801</xdr:colOff>
      <xdr:row>12</xdr:row>
      <xdr:rowOff>8659</xdr:rowOff>
    </xdr:from>
    <xdr:to>
      <xdr:col>4</xdr:col>
      <xdr:colOff>337705</xdr:colOff>
      <xdr:row>20</xdr:row>
      <xdr:rowOff>31172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86A42-13B1-602D-D723-15BE9F67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437283</xdr:colOff>
      <xdr:row>20</xdr:row>
      <xdr:rowOff>230331</xdr:rowOff>
    </xdr:from>
    <xdr:to>
      <xdr:col>4</xdr:col>
      <xdr:colOff>497897</xdr:colOff>
      <xdr:row>31</xdr:row>
      <xdr:rowOff>228599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3268B3-E6C4-A19F-19A8-9C4E06960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12</xdr:row>
      <xdr:rowOff>0</xdr:rowOff>
    </xdr:from>
    <xdr:to>
      <xdr:col>5</xdr:col>
      <xdr:colOff>219075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6C186-58C5-E66B-3972-2A357645F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="140" zoomScaleNormal="140" workbookViewId="0">
      <selection activeCell="H8" sqref="H8"/>
    </sheetView>
  </sheetViews>
  <sheetFormatPr defaultColWidth="9.140625" defaultRowHeight="18.75" x14ac:dyDescent="0.3"/>
  <cols>
    <col min="1" max="1" width="35.140625" style="2" customWidth="1"/>
    <col min="2" max="2" width="14.28515625" style="2" bestFit="1" customWidth="1"/>
    <col min="3" max="7" width="9.140625" style="2"/>
    <col min="8" max="8" width="9.85546875" style="2" customWidth="1"/>
    <col min="9" max="9" width="10.28515625" style="2" bestFit="1" customWidth="1"/>
    <col min="10" max="16384" width="9.140625" style="2"/>
  </cols>
  <sheetData>
    <row r="1" spans="1:10" ht="37.5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10" x14ac:dyDescent="0.3">
      <c r="A2" s="5" t="s">
        <v>8</v>
      </c>
      <c r="B2" s="1">
        <v>41</v>
      </c>
      <c r="C2" s="1">
        <v>35</v>
      </c>
      <c r="D2" s="1">
        <v>20</v>
      </c>
      <c r="E2" s="1">
        <v>52</v>
      </c>
      <c r="F2" s="1">
        <v>56</v>
      </c>
      <c r="G2" s="1">
        <v>40</v>
      </c>
      <c r="H2" s="1">
        <v>38</v>
      </c>
      <c r="I2" s="4"/>
    </row>
    <row r="3" spans="1:10" x14ac:dyDescent="0.3">
      <c r="A3" s="5" t="s">
        <v>14</v>
      </c>
      <c r="B3" s="1">
        <v>25.2</v>
      </c>
      <c r="C3" s="1">
        <v>24.5</v>
      </c>
      <c r="D3" s="1">
        <v>9.5</v>
      </c>
      <c r="E3" s="1">
        <v>16.5</v>
      </c>
      <c r="F3" s="1">
        <v>32.200000000000003</v>
      </c>
      <c r="G3" s="1">
        <v>45</v>
      </c>
      <c r="H3" s="1">
        <v>54.5</v>
      </c>
      <c r="I3" s="4"/>
    </row>
    <row r="4" spans="1:10" x14ac:dyDescent="0.3">
      <c r="A4" s="5" t="s">
        <v>13</v>
      </c>
      <c r="B4" s="4">
        <f>B2*B3</f>
        <v>1033.2</v>
      </c>
      <c r="C4" s="4">
        <f t="shared" ref="C4:H4" si="0">C2*C3</f>
        <v>857.5</v>
      </c>
      <c r="D4" s="4">
        <f t="shared" si="0"/>
        <v>190</v>
      </c>
      <c r="E4" s="4">
        <f t="shared" si="0"/>
        <v>858</v>
      </c>
      <c r="F4" s="4">
        <f t="shared" si="0"/>
        <v>1803.2000000000003</v>
      </c>
      <c r="G4" s="4">
        <f t="shared" si="0"/>
        <v>1800</v>
      </c>
      <c r="H4" s="4">
        <f t="shared" si="0"/>
        <v>2071</v>
      </c>
      <c r="I4" s="4">
        <f>SUM(B4:H4)</f>
        <v>8612.9</v>
      </c>
      <c r="J4" s="3"/>
    </row>
    <row r="5" spans="1:10" x14ac:dyDescent="0.3">
      <c r="A5" s="15"/>
      <c r="B5" s="16"/>
      <c r="C5" s="16"/>
      <c r="D5" s="16"/>
      <c r="E5" s="16"/>
      <c r="F5" s="16"/>
      <c r="G5" s="16"/>
      <c r="H5" s="16"/>
      <c r="I5" s="16"/>
    </row>
    <row r="6" spans="1:10" x14ac:dyDescent="0.3">
      <c r="A6" s="5" t="s">
        <v>10</v>
      </c>
      <c r="B6" s="4">
        <f>IF(B2&gt;40, 40, B2)</f>
        <v>40</v>
      </c>
      <c r="C6" s="4">
        <f>IF(C2&gt;40, 40, C2)</f>
        <v>35</v>
      </c>
      <c r="D6" s="4">
        <f>IF(D2&gt;40, 40, D2)</f>
        <v>20</v>
      </c>
      <c r="E6" s="4">
        <f>IF(E2&gt;40, 40, E2)</f>
        <v>40</v>
      </c>
      <c r="F6" s="4">
        <f>IF(F2&gt;40, 40, F2)</f>
        <v>40</v>
      </c>
      <c r="G6" s="4">
        <f>IF(G2&gt;40, 40, G2)</f>
        <v>40</v>
      </c>
      <c r="H6" s="4">
        <f>IF(H2&gt;40, 40, H2)</f>
        <v>38</v>
      </c>
      <c r="I6" s="4"/>
    </row>
    <row r="7" spans="1:10" x14ac:dyDescent="0.3">
      <c r="A7" s="5" t="s">
        <v>11</v>
      </c>
      <c r="B7" s="6">
        <f>IF(B2&gt;40, B2-40, 0)</f>
        <v>1</v>
      </c>
      <c r="C7" s="6">
        <f>IF(C2&gt;40, C2-40, 0)</f>
        <v>0</v>
      </c>
      <c r="D7" s="6">
        <f>IF(D2&gt;40, D2-40, 0)</f>
        <v>0</v>
      </c>
      <c r="E7" s="6">
        <f>IF(E2&gt;40, E2-40, 0)</f>
        <v>12</v>
      </c>
      <c r="F7" s="6">
        <f>IF(F2&gt;40, F2-40, 0)</f>
        <v>16</v>
      </c>
      <c r="G7" s="6">
        <f>IF(G2&gt;40, G2-40, 0)</f>
        <v>0</v>
      </c>
      <c r="H7" s="6">
        <f>IF(H2&gt;40, H2-40, 0)</f>
        <v>0</v>
      </c>
      <c r="I7" s="4"/>
    </row>
    <row r="8" spans="1:10" x14ac:dyDescent="0.3">
      <c r="A8" s="5" t="s">
        <v>12</v>
      </c>
      <c r="B8" s="9">
        <f>(B6*B3) + (B3*B7*1.5)</f>
        <v>1045.8</v>
      </c>
      <c r="C8" s="9">
        <f>(C6*C3) + (C3*C7*1.5)</f>
        <v>857.5</v>
      </c>
      <c r="D8" s="9">
        <f>(D6*D3) + (D3*D7*1.5)</f>
        <v>190</v>
      </c>
      <c r="E8" s="9">
        <f>(E6*E3) + (E3*E7*1.5)</f>
        <v>957</v>
      </c>
      <c r="F8" s="9">
        <f>(F6*F3) + (F3*F7*1.5)</f>
        <v>2060.8000000000002</v>
      </c>
      <c r="G8" s="9">
        <f>(G6*G3) + (G3*G7*1.5)</f>
        <v>1800</v>
      </c>
      <c r="H8" s="9">
        <f>(H6*H3) + (H3*H7*1.5)</f>
        <v>2071</v>
      </c>
      <c r="I8" s="10">
        <f>SUM(B8:H8)</f>
        <v>8982.1</v>
      </c>
    </row>
    <row r="9" spans="1:10" x14ac:dyDescent="0.3">
      <c r="A9" s="12" t="s">
        <v>15</v>
      </c>
      <c r="B9" s="13"/>
      <c r="C9" s="11"/>
      <c r="D9" s="11"/>
      <c r="E9" s="11"/>
      <c r="F9" s="11"/>
      <c r="G9" s="11"/>
      <c r="H9" s="11"/>
      <c r="I9" s="14">
        <f>((I8 - I4) / I4)</f>
        <v>4.2865933657653142E-2</v>
      </c>
    </row>
    <row r="10" spans="1:10" ht="16.5" customHeight="1" x14ac:dyDescent="0.3">
      <c r="J10" s="7"/>
    </row>
    <row r="12" spans="1:10" x14ac:dyDescent="0.3">
      <c r="A12" s="8"/>
    </row>
    <row r="30" s="2" customFormat="1" ht="26.1" customHeight="1" x14ac:dyDescent="0.3"/>
  </sheetData>
  <pageMargins left="0.25" right="0.25" top="0.75" bottom="0.75" header="0.3" footer="0.3"/>
  <pageSetup paperSize="8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35"/>
  <sheetViews>
    <sheetView workbookViewId="0">
      <selection activeCell="Q16" sqref="Q16"/>
    </sheetView>
  </sheetViews>
  <sheetFormatPr defaultColWidth="9.140625" defaultRowHeight="18.75" x14ac:dyDescent="0.3"/>
  <cols>
    <col min="1" max="1" width="32" style="17" customWidth="1"/>
    <col min="2" max="10" width="10.7109375" style="17" customWidth="1"/>
    <col min="11" max="16384" width="9.140625" style="17"/>
  </cols>
  <sheetData>
    <row r="2" spans="1:10" x14ac:dyDescent="0.3">
      <c r="A2" s="18" t="s">
        <v>16</v>
      </c>
      <c r="B2" s="19">
        <v>240</v>
      </c>
    </row>
    <row r="3" spans="1:10" x14ac:dyDescent="0.3">
      <c r="A3" s="18" t="s">
        <v>17</v>
      </c>
      <c r="B3" s="20">
        <v>4</v>
      </c>
    </row>
    <row r="4" spans="1:10" x14ac:dyDescent="0.3">
      <c r="A4" s="18" t="s">
        <v>18</v>
      </c>
      <c r="B4" s="20">
        <v>20</v>
      </c>
    </row>
    <row r="6" spans="1:10" x14ac:dyDescent="0.3">
      <c r="A6" s="18" t="s">
        <v>19</v>
      </c>
      <c r="B6" s="18">
        <v>0</v>
      </c>
      <c r="C6" s="18">
        <v>5</v>
      </c>
      <c r="D6" s="18">
        <v>10</v>
      </c>
      <c r="E6" s="18">
        <v>15</v>
      </c>
      <c r="F6" s="18">
        <v>20</v>
      </c>
      <c r="G6" s="18">
        <v>25</v>
      </c>
      <c r="H6" s="18">
        <v>30</v>
      </c>
      <c r="I6" s="18">
        <v>35</v>
      </c>
      <c r="J6" s="18">
        <v>40</v>
      </c>
    </row>
    <row r="7" spans="1:10" x14ac:dyDescent="0.3">
      <c r="A7" s="18" t="s">
        <v>20</v>
      </c>
      <c r="B7" s="20">
        <f>$B$2 + $B$3 * B6</f>
        <v>240</v>
      </c>
      <c r="C7" s="20">
        <f t="shared" ref="C7:J7" si="0">$B$2 + $B$3 * C6</f>
        <v>260</v>
      </c>
      <c r="D7" s="20">
        <f t="shared" si="0"/>
        <v>280</v>
      </c>
      <c r="E7" s="20">
        <f t="shared" si="0"/>
        <v>300</v>
      </c>
      <c r="F7" s="20">
        <f t="shared" si="0"/>
        <v>320</v>
      </c>
      <c r="G7" s="20">
        <f t="shared" si="0"/>
        <v>340</v>
      </c>
      <c r="H7" s="20">
        <f t="shared" si="0"/>
        <v>360</v>
      </c>
      <c r="I7" s="20">
        <f t="shared" si="0"/>
        <v>380</v>
      </c>
      <c r="J7" s="20">
        <f t="shared" si="0"/>
        <v>400</v>
      </c>
    </row>
    <row r="8" spans="1:10" x14ac:dyDescent="0.3">
      <c r="A8" s="18" t="s">
        <v>21</v>
      </c>
      <c r="B8" s="20">
        <f>$B$4 * B6</f>
        <v>0</v>
      </c>
      <c r="C8" s="20">
        <f>$B$4 * C6</f>
        <v>100</v>
      </c>
      <c r="D8" s="20">
        <f t="shared" ref="D8:J8" si="1">$B$4 * D6</f>
        <v>200</v>
      </c>
      <c r="E8" s="20">
        <f t="shared" si="1"/>
        <v>300</v>
      </c>
      <c r="F8" s="20">
        <f t="shared" si="1"/>
        <v>400</v>
      </c>
      <c r="G8" s="20">
        <f t="shared" si="1"/>
        <v>500</v>
      </c>
      <c r="H8" s="20">
        <f t="shared" si="1"/>
        <v>600</v>
      </c>
      <c r="I8" s="20">
        <f t="shared" si="1"/>
        <v>700</v>
      </c>
      <c r="J8" s="20">
        <f t="shared" si="1"/>
        <v>800</v>
      </c>
    </row>
    <row r="11" spans="1:10" x14ac:dyDescent="0.3">
      <c r="A11" s="17" t="s">
        <v>22</v>
      </c>
    </row>
    <row r="25" spans="1:6" x14ac:dyDescent="0.3">
      <c r="A25" s="22" t="s">
        <v>23</v>
      </c>
      <c r="B25" s="21"/>
      <c r="C25" s="21"/>
      <c r="D25" s="21"/>
      <c r="E25" s="21"/>
      <c r="F25" s="21"/>
    </row>
    <row r="26" spans="1:6" x14ac:dyDescent="0.3">
      <c r="A26" s="21" t="s">
        <v>24</v>
      </c>
      <c r="B26" s="21"/>
      <c r="C26" s="21"/>
      <c r="D26" s="21"/>
      <c r="E26" s="21"/>
      <c r="F26" s="21"/>
    </row>
    <row r="27" spans="1:6" x14ac:dyDescent="0.3">
      <c r="A27" s="21" t="s">
        <v>25</v>
      </c>
      <c r="B27" s="21"/>
      <c r="C27" s="21"/>
      <c r="D27" s="21"/>
      <c r="E27" s="21"/>
      <c r="F27" s="21"/>
    </row>
    <row r="28" spans="1:6" x14ac:dyDescent="0.3">
      <c r="A28" s="21" t="s">
        <v>26</v>
      </c>
      <c r="B28" s="21"/>
      <c r="C28" s="21"/>
      <c r="D28" s="21"/>
      <c r="E28" s="21"/>
      <c r="F28" s="21"/>
    </row>
    <row r="29" spans="1:6" x14ac:dyDescent="0.3">
      <c r="A29" s="21" t="s">
        <v>27</v>
      </c>
      <c r="B29" s="21"/>
      <c r="C29" s="21"/>
      <c r="D29" s="21"/>
      <c r="E29" s="21"/>
      <c r="F29" s="21"/>
    </row>
    <row r="30" spans="1:6" x14ac:dyDescent="0.3">
      <c r="A30" s="21" t="s">
        <v>28</v>
      </c>
      <c r="B30" s="21"/>
      <c r="C30" s="21"/>
      <c r="D30" s="21"/>
      <c r="E30" s="21"/>
      <c r="F30" s="21"/>
    </row>
    <row r="31" spans="1:6" x14ac:dyDescent="0.3">
      <c r="A31" s="21"/>
      <c r="B31" s="21"/>
      <c r="C31" s="21"/>
      <c r="D31" s="21"/>
      <c r="E31" s="21"/>
      <c r="F31" s="21"/>
    </row>
    <row r="32" spans="1:6" x14ac:dyDescent="0.3">
      <c r="A32" s="21"/>
      <c r="B32" s="21"/>
      <c r="C32" s="21"/>
      <c r="D32" s="21"/>
      <c r="E32" s="21"/>
      <c r="F32" s="21"/>
    </row>
    <row r="33" spans="1:6" x14ac:dyDescent="0.3">
      <c r="A33" s="21"/>
      <c r="B33" s="21"/>
      <c r="C33" s="21"/>
      <c r="D33" s="21"/>
      <c r="E33" s="21"/>
      <c r="F33" s="21"/>
    </row>
    <row r="34" spans="1:6" x14ac:dyDescent="0.3">
      <c r="A34" s="21"/>
      <c r="B34" s="21"/>
      <c r="C34" s="21"/>
      <c r="D34" s="21"/>
      <c r="E34" s="21"/>
      <c r="F34" s="21"/>
    </row>
    <row r="35" spans="1:6" x14ac:dyDescent="0.3">
      <c r="A35" s="21"/>
      <c r="B35" s="21"/>
      <c r="C35" s="21"/>
      <c r="D35" s="21"/>
      <c r="E35" s="21"/>
      <c r="F35" s="21"/>
    </row>
  </sheetData>
  <pageMargins left="0.11811023622047244" right="0.11811023622047244" top="7.874015748031496E-2" bottom="7.874015748031496E-2" header="7.874015748031496E-2" footer="0.19685039370078741"/>
  <pageSetup paperSize="9" scale="9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89C2B03CC9B4B848357AD3FCA0F8D" ma:contentTypeVersion="8" ma:contentTypeDescription="Create a new document." ma:contentTypeScope="" ma:versionID="d0aded333a271362b6754dc6ea5c7915">
  <xsd:schema xmlns:xsd="http://www.w3.org/2001/XMLSchema" xmlns:xs="http://www.w3.org/2001/XMLSchema" xmlns:p="http://schemas.microsoft.com/office/2006/metadata/properties" xmlns:ns3="0a63ec7c-6655-44e7-8cc1-d1896a7f84b6" targetNamespace="http://schemas.microsoft.com/office/2006/metadata/properties" ma:root="true" ma:fieldsID="ab99296696bf89ece564c9fde34b9d9c" ns3:_="">
    <xsd:import namespace="0a63ec7c-6655-44e7-8cc1-d1896a7f84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3ec7c-6655-44e7-8cc1-d1896a7f8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7B1F34-351C-44BC-AE3A-3D9DB5333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56173E-3B87-4139-85E1-4A877BC92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3ec7c-6655-44e7-8cc1-d1896a7f84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2C534-417D-4C99-9215-96A5408681C3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0a63ec7c-6655-44e7-8cc1-d1896a7f84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</vt:lpstr>
      <vt:lpstr>Linear</vt:lpstr>
      <vt:lpstr>Pay!Print_Area</vt:lpstr>
    </vt:vector>
  </TitlesOfParts>
  <Company>Keele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Reinhold Heinlein</dc:creator>
  <cp:lastModifiedBy>Binh Nguyen</cp:lastModifiedBy>
  <cp:lastPrinted>2016-09-27T11:27:42Z</cp:lastPrinted>
  <dcterms:created xsi:type="dcterms:W3CDTF">2009-10-19T15:33:13Z</dcterms:created>
  <dcterms:modified xsi:type="dcterms:W3CDTF">2025-11-25T10:09:14Z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0x01010078489C2B03CC9B4B848357AD3FCA0F8D</vt:lpwstr>
  </property>
</Properties>
</file>