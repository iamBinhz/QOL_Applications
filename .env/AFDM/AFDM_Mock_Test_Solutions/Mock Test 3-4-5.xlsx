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TML-CSS-JS\University_QOL_Applications\AFDM_Final_Test\"/>
    </mc:Choice>
  </mc:AlternateContent>
  <xr:revisionPtr revIDLastSave="0" documentId="13_ncr:1_{F13CDD7B-CD0F-495C-A199-B900211532B2}" xr6:coauthVersionLast="47" xr6:coauthVersionMax="47" xr10:uidLastSave="{00000000-0000-0000-0000-000000000000}"/>
  <bookViews>
    <workbookView xWindow="-120" yWindow="-120" windowWidth="29040" windowHeight="15720" xr2:uid="{CE491B1D-830B-4C18-AD35-C8EB87E1878E}"/>
  </bookViews>
  <sheets>
    <sheet name="Mock 1" sheetId="6" r:id="rId1"/>
    <sheet name="Mock 2" sheetId="7" r:id="rId2"/>
    <sheet name="Mock Test 3" sheetId="1" r:id="rId3"/>
    <sheet name="Mock Test 4" sheetId="5" r:id="rId4"/>
    <sheet name="Mock Test 5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6" l="1"/>
  <c r="O18" i="6"/>
  <c r="O17" i="6"/>
  <c r="O10" i="6"/>
  <c r="O7" i="6"/>
  <c r="O6" i="6"/>
  <c r="H36" i="5"/>
  <c r="E40" i="5"/>
  <c r="E39" i="5"/>
  <c r="E38" i="5"/>
  <c r="E37" i="5"/>
  <c r="E36" i="5"/>
  <c r="C26" i="5"/>
  <c r="E26" i="5" s="1"/>
  <c r="C28" i="5" s="1"/>
  <c r="E25" i="5"/>
  <c r="C25" i="5"/>
  <c r="C23" i="5"/>
  <c r="C24" i="5"/>
  <c r="E20" i="5"/>
  <c r="C7" i="5"/>
  <c r="F3" i="5"/>
  <c r="F2" i="5"/>
  <c r="E90" i="1"/>
  <c r="E88" i="1"/>
  <c r="E86" i="1"/>
  <c r="D87" i="1"/>
  <c r="E85" i="1"/>
  <c r="E84" i="1"/>
  <c r="E82" i="1"/>
  <c r="F72" i="1"/>
  <c r="D78" i="1" s="1"/>
  <c r="F61" i="3"/>
  <c r="D62" i="3"/>
  <c r="E60" i="3"/>
  <c r="E57" i="3"/>
  <c r="E56" i="3"/>
  <c r="E55" i="3"/>
  <c r="F44" i="3"/>
  <c r="D50" i="3"/>
  <c r="J30" i="3"/>
  <c r="F33" i="3"/>
  <c r="F32" i="3"/>
  <c r="F31" i="3"/>
  <c r="F30" i="3"/>
  <c r="F29" i="3"/>
  <c r="E33" i="3"/>
  <c r="E32" i="3"/>
  <c r="E31" i="3"/>
  <c r="E30" i="3"/>
  <c r="E29" i="3"/>
  <c r="F28" i="3"/>
  <c r="E28" i="3"/>
  <c r="J21" i="3"/>
  <c r="J16" i="3"/>
  <c r="E20" i="3"/>
  <c r="E19" i="3"/>
  <c r="E18" i="3"/>
  <c r="E17" i="3"/>
  <c r="E16" i="3"/>
  <c r="J5" i="3"/>
  <c r="E9" i="3"/>
  <c r="E8" i="3"/>
  <c r="E7" i="3"/>
  <c r="E6" i="3"/>
  <c r="E5" i="3"/>
  <c r="J58" i="1"/>
  <c r="J61" i="1"/>
  <c r="J60" i="1"/>
  <c r="J63" i="1" s="1"/>
  <c r="J59" i="1"/>
  <c r="J51" i="1"/>
  <c r="J57" i="1"/>
  <c r="J53" i="1"/>
  <c r="J50" i="1"/>
  <c r="J49" i="1"/>
  <c r="J48" i="1"/>
  <c r="J47" i="1"/>
  <c r="T33" i="1"/>
  <c r="T32" i="1"/>
  <c r="J27" i="1"/>
  <c r="J38" i="1"/>
  <c r="E41" i="1"/>
  <c r="E40" i="1"/>
  <c r="E39" i="1"/>
  <c r="E38" i="1"/>
  <c r="E37" i="1"/>
  <c r="E30" i="1"/>
  <c r="E31" i="1" s="1"/>
  <c r="E29" i="1"/>
  <c r="E28" i="1"/>
  <c r="E27" i="1"/>
  <c r="E26" i="1"/>
  <c r="T10" i="1"/>
  <c r="T9" i="1"/>
  <c r="J16" i="1"/>
  <c r="E16" i="1"/>
  <c r="E17" i="1" s="1"/>
  <c r="E18" i="1" s="1"/>
  <c r="E19" i="1" s="1"/>
  <c r="E20" i="1" s="1"/>
  <c r="J5" i="1"/>
  <c r="E9" i="1"/>
  <c r="E8" i="1"/>
  <c r="E7" i="1"/>
  <c r="E6" i="1"/>
  <c r="E5" i="1"/>
  <c r="E41" i="5" l="1"/>
  <c r="E21" i="3"/>
  <c r="E10" i="3"/>
  <c r="E42" i="1"/>
</calcChain>
</file>

<file path=xl/sharedStrings.xml><?xml version="1.0" encoding="utf-8"?>
<sst xmlns="http://schemas.openxmlformats.org/spreadsheetml/2006/main" count="208" uniqueCount="107">
  <si>
    <t>Year</t>
  </si>
  <si>
    <t>Cashflows</t>
  </si>
  <si>
    <t>Cumulative Cashflows</t>
  </si>
  <si>
    <t>SolarMAX</t>
  </si>
  <si>
    <t>Payback Period</t>
  </si>
  <si>
    <t>Last year with negative CCF + |Last Negative CCF| / Following Year CF</t>
  </si>
  <si>
    <t>WindPower</t>
  </si>
  <si>
    <t>3 + |-350000| / 850000</t>
  </si>
  <si>
    <t>3 + |-600,000| / 850,000</t>
  </si>
  <si>
    <t>1a)</t>
  </si>
  <si>
    <t>SolarMax</t>
  </si>
  <si>
    <t>1b)</t>
  </si>
  <si>
    <t>Present Value</t>
  </si>
  <si>
    <t>Total</t>
  </si>
  <si>
    <t xml:space="preserve">Present Value </t>
  </si>
  <si>
    <t>FV * (1 + interest rate) ^(-t)</t>
  </si>
  <si>
    <t>NPV</t>
  </si>
  <si>
    <t>Total PV - Initial Investment</t>
  </si>
  <si>
    <t>Initial Investment</t>
  </si>
  <si>
    <t>1c)</t>
  </si>
  <si>
    <t>Annual Deprecitation</t>
  </si>
  <si>
    <t>Annual Depreciation = (Initial Investment - Scrap Value) / Project Life (Number of Years)</t>
  </si>
  <si>
    <t>Total Cashflows</t>
  </si>
  <si>
    <t>Total Cashflows = Sum of cashflows everyyear</t>
  </si>
  <si>
    <t>Total Depreciation</t>
  </si>
  <si>
    <t>Total Depreciation = Annual Depreciation x Project Life</t>
  </si>
  <si>
    <t>Average Annual Profit</t>
  </si>
  <si>
    <t>Avergae Annual Profit = (Total Cashflows - Total Depreciation) / Project Life</t>
  </si>
  <si>
    <t>Average Investment</t>
  </si>
  <si>
    <t>Average Investment = (Initial Investment + Scrap Value) / 2</t>
  </si>
  <si>
    <t>ARR</t>
  </si>
  <si>
    <t>ARR = Average Annual Profit / Average Investment</t>
  </si>
  <si>
    <t>Horizon Pharmaceuticals</t>
  </si>
  <si>
    <t>IRR</t>
  </si>
  <si>
    <t>IRR = r₁ + [NPV₁ / (NPV₁ - NPV₂)] × (r₂ - r₁)</t>
  </si>
  <si>
    <t>Discounted Cashflows</t>
  </si>
  <si>
    <t>Cashflows x (1 + interest rates)^(-t)</t>
  </si>
  <si>
    <t>Discounted Payback Period</t>
  </si>
  <si>
    <t>Cumulative Discounted Cashflows</t>
  </si>
  <si>
    <t>Last year with negative CDCF + |Last Negative CDCF| / Following Year DCF</t>
  </si>
  <si>
    <t>4 + |-606,413| / 869,290</t>
  </si>
  <si>
    <t>2a)</t>
  </si>
  <si>
    <t xml:space="preserve">r =7.5% </t>
  </si>
  <si>
    <t xml:space="preserve">FV </t>
  </si>
  <si>
    <t xml:space="preserve">n </t>
  </si>
  <si>
    <t>Bond Price</t>
  </si>
  <si>
    <t>2b)</t>
  </si>
  <si>
    <t>Total Capital = Number of bonds x Bond Price</t>
  </si>
  <si>
    <t>C = Coupon = FV * coupon rate = 1000 * 6%</t>
  </si>
  <si>
    <t>4a)</t>
  </si>
  <si>
    <t>Earning Per Share (EPS) = Net Income / Shares outstanding</t>
  </si>
  <si>
    <t>50M / 20Mshares</t>
  </si>
  <si>
    <t>per share</t>
  </si>
  <si>
    <t>Dividend Per Share (DPS) = EPS x Payout Ratio</t>
  </si>
  <si>
    <t>2.5 x 40%</t>
  </si>
  <si>
    <t>Divident Yield = DPS / Share Price</t>
  </si>
  <si>
    <t>1/15</t>
  </si>
  <si>
    <t>4b)</t>
  </si>
  <si>
    <t>New DPS = EPS x 60% Payout</t>
  </si>
  <si>
    <t>2.5 x 60%</t>
  </si>
  <si>
    <t>Share value (P0): (D1/P0) + g</t>
  </si>
  <si>
    <t>D1 = D0 x (1 + g) = 1.5 x (1 + 0.08)</t>
  </si>
  <si>
    <t>=&gt; P0 = D1 / (r -g )</t>
  </si>
  <si>
    <t>Market Value of Equity (Price of all shares)</t>
  </si>
  <si>
    <t>Market Value of Debt (Bonds)</t>
  </si>
  <si>
    <t>E =Ordinary Shares x Price per share</t>
  </si>
  <si>
    <t>D = Money in bonds</t>
  </si>
  <si>
    <t>wE = E / E + D</t>
  </si>
  <si>
    <t>wD = D / E + D</t>
  </si>
  <si>
    <t>rE (Cost of equity)= (D1/P0) + g</t>
  </si>
  <si>
    <t>D1 = D0 x (1+g)</t>
  </si>
  <si>
    <t>rD (Cost of Debt) = yield x (1 - Tax)</t>
  </si>
  <si>
    <t>WACC = (wE x rE) + (wD x rD)</t>
  </si>
  <si>
    <t>Cost of Equity (rE)</t>
  </si>
  <si>
    <t>=(D1/P0) + g</t>
  </si>
  <si>
    <t>=0.45 x (1+0.06)</t>
  </si>
  <si>
    <t>=(0.48/6.5)+0.06</t>
  </si>
  <si>
    <t xml:space="preserve">F </t>
  </si>
  <si>
    <t>C = Coupon = 7% x 100</t>
  </si>
  <si>
    <t xml:space="preserve">B0 </t>
  </si>
  <si>
    <t>t = years</t>
  </si>
  <si>
    <t>Replace</t>
  </si>
  <si>
    <t>C = 7</t>
  </si>
  <si>
    <t>n = t = 6</t>
  </si>
  <si>
    <t>FV = F</t>
  </si>
  <si>
    <t>r = y</t>
  </si>
  <si>
    <t>P = B0 = 92</t>
  </si>
  <si>
    <t>Because B0 &lt; F =&gt; %C &lt; y =&gt; y &gt; 7%</t>
  </si>
  <si>
    <t>=&gt; y = 8.77% (accepted)</t>
  </si>
  <si>
    <t>After-tax cost of debt = rD</t>
  </si>
  <si>
    <t>rD = y x (1- Tax)</t>
  </si>
  <si>
    <t>rD</t>
  </si>
  <si>
    <t>rE</t>
  </si>
  <si>
    <t>E = 4M x 6.5</t>
  </si>
  <si>
    <t>wE = E / (E+D)</t>
  </si>
  <si>
    <t>wD = D / (E+D)</t>
  </si>
  <si>
    <t>WACC = (wD x rD) + (wE x rE)</t>
  </si>
  <si>
    <t>D = 92 x (8M /100)</t>
  </si>
  <si>
    <t>1d)</t>
  </si>
  <si>
    <t>Calculate NPV by WACC = 11.75% ~ 12%</t>
  </si>
  <si>
    <t>NPV = Total PV - Initial Investment</t>
  </si>
  <si>
    <t>=&gt;</t>
  </si>
  <si>
    <t>Annual Depreciation</t>
  </si>
  <si>
    <t>NanoChip</t>
  </si>
  <si>
    <t>Average Annual Profit = (Total Cashflows - Total Depreciation) / Project Life</t>
  </si>
  <si>
    <t xml:space="preserve">ARR </t>
  </si>
  <si>
    <t>SmartPrint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</si>
</sst>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sz val="14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4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2" fillId="0" borderId="3" xfId="0" applyFont="1" applyBorder="1"/>
    <xf numFmtId="0" fontId="1" fillId="0" borderId="2" xfId="0" applyFont="1" applyBorder="1" applyAlignment="1">
      <alignment horizontal="center"/>
    </xf>
    <xf numFmtId="3" fontId="1" fillId="0" borderId="1" xfId="0" applyNumberFormat="1" applyFont="1" applyBorder="1"/>
    <xf numFmtId="0" fontId="1" fillId="0" borderId="8" xfId="0" applyFont="1" applyBorder="1"/>
    <xf numFmtId="2" fontId="1" fillId="0" borderId="0" xfId="0" applyNumberFormat="1" applyFont="1"/>
    <xf numFmtId="0" fontId="1" fillId="2" borderId="0" xfId="0" applyFont="1" applyFill="1"/>
    <xf numFmtId="0" fontId="1" fillId="0" borderId="9" xfId="0" applyFont="1" applyBorder="1"/>
    <xf numFmtId="3" fontId="1" fillId="0" borderId="3" xfId="0" applyNumberFormat="1" applyFont="1" applyBorder="1"/>
    <xf numFmtId="3" fontId="1" fillId="0" borderId="0" xfId="0" applyNumberFormat="1" applyFont="1"/>
    <xf numFmtId="3" fontId="1" fillId="0" borderId="1" xfId="0" quotePrefix="1" applyNumberFormat="1" applyFont="1" applyBorder="1"/>
    <xf numFmtId="0" fontId="2" fillId="0" borderId="0" xfId="0" applyFont="1"/>
    <xf numFmtId="10" fontId="1" fillId="0" borderId="0" xfId="0" applyNumberFormat="1" applyFont="1"/>
    <xf numFmtId="0" fontId="2" fillId="0" borderId="1" xfId="0" applyFont="1" applyBorder="1"/>
    <xf numFmtId="3" fontId="1" fillId="2" borderId="1" xfId="0" applyNumberFormat="1" applyFont="1" applyFill="1" applyBorder="1"/>
    <xf numFmtId="3" fontId="1" fillId="3" borderId="1" xfId="0" applyNumberFormat="1" applyFont="1" applyFill="1" applyBorder="1"/>
    <xf numFmtId="3" fontId="3" fillId="4" borderId="1" xfId="0" applyNumberFormat="1" applyFont="1" applyFill="1" applyBorder="1"/>
    <xf numFmtId="16" fontId="1" fillId="0" borderId="0" xfId="0" quotePrefix="1" applyNumberFormat="1" applyFont="1"/>
    <xf numFmtId="10" fontId="1" fillId="0" borderId="0" xfId="1" applyNumberFormat="1" applyFont="1"/>
    <xf numFmtId="0" fontId="1" fillId="0" borderId="0" xfId="0" quotePrefix="1" applyFont="1"/>
    <xf numFmtId="10" fontId="1" fillId="0" borderId="1" xfId="1" applyNumberFormat="1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1" fillId="0" borderId="6" xfId="0" applyNumberFormat="1" applyFont="1" applyBorder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applyFont="1" applyAlignment="1"/>
    <xf numFmtId="3" fontId="5" fillId="0" borderId="0" xfId="0" applyNumberFormat="1" applyFont="1"/>
    <xf numFmtId="9" fontId="1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71</xdr:row>
      <xdr:rowOff>9525</xdr:rowOff>
    </xdr:from>
    <xdr:to>
      <xdr:col>4</xdr:col>
      <xdr:colOff>981586</xdr:colOff>
      <xdr:row>74</xdr:row>
      <xdr:rowOff>95362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CA5097-46C9-4140-B0B5-A79A8EB49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10248900"/>
          <a:ext cx="3658111" cy="8002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4</xdr:col>
      <xdr:colOff>1410211</xdr:colOff>
      <xdr:row>13</xdr:row>
      <xdr:rowOff>85837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A4E81A-BBEB-4CB7-9F66-6331CEA32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5175" y="2381250"/>
          <a:ext cx="3658111" cy="8002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43</xdr:row>
      <xdr:rowOff>9525</xdr:rowOff>
    </xdr:from>
    <xdr:to>
      <xdr:col>4</xdr:col>
      <xdr:colOff>857761</xdr:colOff>
      <xdr:row>46</xdr:row>
      <xdr:rowOff>95362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EF56BF-CC2A-F359-08BF-A3BFF4731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8900" y="10248900"/>
          <a:ext cx="3658111" cy="800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ABF7-11B6-44A5-9CF0-C72D1489C0A9}">
  <dimension ref="A1:O24"/>
  <sheetViews>
    <sheetView tabSelected="1" topLeftCell="A9" workbookViewId="0">
      <selection activeCell="B25" sqref="B25"/>
    </sheetView>
  </sheetViews>
  <sheetFormatPr defaultRowHeight="18.75" x14ac:dyDescent="0.3"/>
  <cols>
    <col min="1" max="1" width="9.140625" style="1"/>
    <col min="2" max="2" width="28" style="1" customWidth="1"/>
    <col min="3" max="3" width="9.140625" style="1" customWidth="1"/>
    <col min="4" max="7" width="9.140625" style="1"/>
    <col min="8" max="8" width="9.85546875" style="1" customWidth="1"/>
    <col min="9" max="14" width="9.140625" style="1"/>
    <col min="15" max="15" width="12.7109375" style="1" bestFit="1" customWidth="1"/>
    <col min="16" max="16384" width="9.140625" style="1"/>
  </cols>
  <sheetData>
    <row r="1" spans="1:15" x14ac:dyDescent="0.3">
      <c r="A1" s="1" t="s">
        <v>9</v>
      </c>
    </row>
    <row r="2" spans="1:15" x14ac:dyDescent="0.3">
      <c r="B2" s="1" t="s">
        <v>103</v>
      </c>
    </row>
    <row r="4" spans="1:15" x14ac:dyDescent="0.3">
      <c r="B4" s="1" t="s">
        <v>102</v>
      </c>
      <c r="C4" s="42" t="s">
        <v>21</v>
      </c>
      <c r="D4" s="42"/>
      <c r="E4" s="42"/>
      <c r="F4" s="42"/>
      <c r="G4" s="42"/>
      <c r="H4" s="42"/>
      <c r="I4" s="42"/>
      <c r="J4" s="42"/>
      <c r="K4" s="42"/>
      <c r="L4" s="42"/>
      <c r="M4" s="42"/>
      <c r="O4" s="13">
        <v>490000</v>
      </c>
    </row>
    <row r="5" spans="1:15" x14ac:dyDescent="0.3">
      <c r="B5" s="1" t="s">
        <v>22</v>
      </c>
      <c r="C5" s="1" t="s">
        <v>23</v>
      </c>
      <c r="E5" s="42"/>
      <c r="F5" s="42"/>
      <c r="G5" s="42"/>
      <c r="H5" s="42"/>
      <c r="I5" s="42"/>
      <c r="O5" s="13">
        <v>5250000</v>
      </c>
    </row>
    <row r="6" spans="1:15" x14ac:dyDescent="0.3">
      <c r="B6" s="1" t="s">
        <v>24</v>
      </c>
      <c r="C6" s="1" t="s">
        <v>25</v>
      </c>
      <c r="O6" s="13">
        <f>O4*5</f>
        <v>2450000</v>
      </c>
    </row>
    <row r="7" spans="1:15" x14ac:dyDescent="0.3">
      <c r="B7" s="1" t="s">
        <v>26</v>
      </c>
      <c r="C7" s="1" t="s">
        <v>104</v>
      </c>
      <c r="O7" s="13">
        <f>(O5-O6)/5</f>
        <v>560000</v>
      </c>
    </row>
    <row r="8" spans="1:15" x14ac:dyDescent="0.3">
      <c r="B8" s="1" t="s">
        <v>28</v>
      </c>
      <c r="C8" s="1" t="s">
        <v>29</v>
      </c>
      <c r="O8" s="43">
        <v>1625000</v>
      </c>
    </row>
    <row r="10" spans="1:15" x14ac:dyDescent="0.3">
      <c r="B10" s="15" t="s">
        <v>105</v>
      </c>
      <c r="C10" s="1" t="s">
        <v>31</v>
      </c>
      <c r="O10" s="22">
        <f>O7/O8</f>
        <v>0.3446153846153846</v>
      </c>
    </row>
    <row r="13" spans="1:15" x14ac:dyDescent="0.3">
      <c r="B13" s="1" t="s">
        <v>106</v>
      </c>
    </row>
    <row r="15" spans="1:15" x14ac:dyDescent="0.3">
      <c r="B15" s="1" t="s">
        <v>102</v>
      </c>
      <c r="C15" s="42" t="s">
        <v>21</v>
      </c>
      <c r="O15" s="13">
        <v>520000</v>
      </c>
    </row>
    <row r="16" spans="1:15" x14ac:dyDescent="0.3">
      <c r="B16" s="1" t="s">
        <v>22</v>
      </c>
      <c r="C16" s="1" t="s">
        <v>23</v>
      </c>
      <c r="O16" s="43">
        <v>4300000</v>
      </c>
    </row>
    <row r="17" spans="1:15" x14ac:dyDescent="0.3">
      <c r="B17" s="1" t="s">
        <v>24</v>
      </c>
      <c r="C17" s="1" t="s">
        <v>25</v>
      </c>
      <c r="O17" s="43">
        <f>O15*5</f>
        <v>2600000</v>
      </c>
    </row>
    <row r="18" spans="1:15" x14ac:dyDescent="0.3">
      <c r="B18" s="1" t="s">
        <v>26</v>
      </c>
      <c r="C18" s="1" t="s">
        <v>104</v>
      </c>
      <c r="O18" s="43">
        <f>(O16-O17)/5</f>
        <v>340000</v>
      </c>
    </row>
    <row r="19" spans="1:15" x14ac:dyDescent="0.3">
      <c r="B19" s="1" t="s">
        <v>28</v>
      </c>
      <c r="C19" s="1" t="s">
        <v>29</v>
      </c>
      <c r="O19" s="43">
        <v>1900000</v>
      </c>
    </row>
    <row r="21" spans="1:15" x14ac:dyDescent="0.3">
      <c r="B21" s="15" t="s">
        <v>105</v>
      </c>
      <c r="C21" s="1" t="s">
        <v>31</v>
      </c>
      <c r="O21" s="22">
        <f>O18/O19</f>
        <v>0.17894736842105263</v>
      </c>
    </row>
    <row r="22" spans="1:15" x14ac:dyDescent="0.3">
      <c r="O22" s="44"/>
    </row>
    <row r="24" spans="1:15" x14ac:dyDescent="0.3">
      <c r="A24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FD3C-2814-425F-9993-4EE4C89E339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EA59-03F6-4EAC-BC22-5744CDCAF773}">
  <dimension ref="A1:T90"/>
  <sheetViews>
    <sheetView topLeftCell="A49" workbookViewId="0">
      <selection activeCell="D63" sqref="D63"/>
    </sheetView>
  </sheetViews>
  <sheetFormatPr defaultRowHeight="18.75" x14ac:dyDescent="0.3"/>
  <cols>
    <col min="1" max="1" width="9.140625" style="1"/>
    <col min="2" max="2" width="53.28515625" style="1" customWidth="1"/>
    <col min="3" max="3" width="18.28515625" style="1" customWidth="1"/>
    <col min="4" max="4" width="21.85546875" style="1" customWidth="1"/>
    <col min="5" max="5" width="27.28515625" style="1" customWidth="1"/>
    <col min="6" max="8" width="9.140625" style="1"/>
    <col min="9" max="9" width="21.5703125" style="1" customWidth="1"/>
    <col min="10" max="10" width="31.7109375" style="1" customWidth="1"/>
    <col min="11" max="18" width="9.140625" style="1"/>
    <col min="19" max="19" width="14.7109375" style="1" customWidth="1"/>
    <col min="20" max="20" width="10.5703125" style="1" bestFit="1" customWidth="1"/>
    <col min="21" max="21" width="9.140625" style="1"/>
    <col min="22" max="22" width="15.85546875" style="1" customWidth="1"/>
    <col min="23" max="16384" width="9.140625" style="1"/>
  </cols>
  <sheetData>
    <row r="1" spans="1:20" x14ac:dyDescent="0.3">
      <c r="A1" s="1" t="s">
        <v>9</v>
      </c>
      <c r="I1" s="8"/>
    </row>
    <row r="2" spans="1:20" x14ac:dyDescent="0.3">
      <c r="B2" s="5" t="s">
        <v>3</v>
      </c>
      <c r="C2" s="31"/>
      <c r="D2" s="32"/>
      <c r="E2" s="33"/>
      <c r="I2" s="8"/>
    </row>
    <row r="3" spans="1:20" x14ac:dyDescent="0.3">
      <c r="B3" s="34"/>
      <c r="C3" s="6" t="s">
        <v>0</v>
      </c>
      <c r="D3" s="4" t="s">
        <v>1</v>
      </c>
      <c r="E3" s="4" t="s">
        <v>2</v>
      </c>
      <c r="I3" s="8" t="s">
        <v>4</v>
      </c>
      <c r="J3" s="1" t="s">
        <v>5</v>
      </c>
    </row>
    <row r="4" spans="1:20" x14ac:dyDescent="0.3">
      <c r="B4" s="35"/>
      <c r="C4" s="3">
        <v>0</v>
      </c>
      <c r="D4" s="7">
        <v>-3600000</v>
      </c>
      <c r="E4" s="7">
        <v>-3600000</v>
      </c>
      <c r="I4" s="8"/>
      <c r="J4" s="1" t="s">
        <v>8</v>
      </c>
    </row>
    <row r="5" spans="1:20" x14ac:dyDescent="0.3">
      <c r="B5" s="35"/>
      <c r="C5" s="3">
        <v>1</v>
      </c>
      <c r="D5" s="7">
        <v>650000</v>
      </c>
      <c r="E5" s="7">
        <f>SUM(E4+D5)</f>
        <v>-2950000</v>
      </c>
      <c r="I5" s="8"/>
      <c r="J5" s="9">
        <f>C7 +(ABS(E7)/D8)</f>
        <v>3.7058823529411766</v>
      </c>
      <c r="K5" s="10"/>
      <c r="L5" s="10"/>
      <c r="M5" s="10"/>
      <c r="N5" s="10"/>
      <c r="O5" s="10"/>
      <c r="P5" s="10"/>
    </row>
    <row r="6" spans="1:20" x14ac:dyDescent="0.3">
      <c r="B6" s="35"/>
      <c r="C6" s="3">
        <v>2</v>
      </c>
      <c r="D6" s="7">
        <v>1100000</v>
      </c>
      <c r="E6" s="7">
        <f>E5+D6</f>
        <v>-1850000</v>
      </c>
      <c r="I6" s="8"/>
      <c r="P6" s="10"/>
    </row>
    <row r="7" spans="1:20" x14ac:dyDescent="0.3">
      <c r="B7" s="35"/>
      <c r="C7" s="3">
        <v>3</v>
      </c>
      <c r="D7" s="7">
        <v>1250000</v>
      </c>
      <c r="E7" s="7">
        <f>E6+D7</f>
        <v>-600000</v>
      </c>
      <c r="I7" s="8"/>
      <c r="P7" s="10"/>
    </row>
    <row r="8" spans="1:20" x14ac:dyDescent="0.3">
      <c r="B8" s="35"/>
      <c r="C8" s="3">
        <v>4</v>
      </c>
      <c r="D8" s="7">
        <v>850000</v>
      </c>
      <c r="E8" s="7">
        <f>E7+D8</f>
        <v>250000</v>
      </c>
      <c r="I8" s="8"/>
      <c r="P8" s="10"/>
    </row>
    <row r="9" spans="1:20" x14ac:dyDescent="0.3">
      <c r="B9" s="36"/>
      <c r="C9" s="3">
        <v>5</v>
      </c>
      <c r="D9" s="7">
        <v>750000</v>
      </c>
      <c r="E9" s="7">
        <f>E8+D9</f>
        <v>1000000</v>
      </c>
      <c r="I9" s="8"/>
      <c r="P9" s="10"/>
      <c r="Q9" s="10"/>
      <c r="R9" s="10"/>
      <c r="S9" s="1" t="s">
        <v>10</v>
      </c>
      <c r="T9" s="9">
        <f>J5</f>
        <v>3.7058823529411766</v>
      </c>
    </row>
    <row r="10" spans="1:20" x14ac:dyDescent="0.3">
      <c r="I10" s="8"/>
      <c r="P10" s="10"/>
      <c r="Q10" s="10"/>
      <c r="R10" s="10"/>
      <c r="S10" s="1" t="s">
        <v>6</v>
      </c>
      <c r="T10" s="9">
        <f>J16</f>
        <v>3.4117647058823528</v>
      </c>
    </row>
    <row r="11" spans="1:20" x14ac:dyDescent="0.3">
      <c r="I11" s="8"/>
      <c r="P11" s="10"/>
    </row>
    <row r="12" spans="1:20" x14ac:dyDescent="0.3">
      <c r="I12" s="8"/>
      <c r="P12" s="10"/>
    </row>
    <row r="13" spans="1:20" x14ac:dyDescent="0.3">
      <c r="B13" s="5" t="s">
        <v>6</v>
      </c>
      <c r="C13" s="31"/>
      <c r="D13" s="32"/>
      <c r="E13" s="33"/>
      <c r="I13" s="8"/>
      <c r="P13" s="10"/>
    </row>
    <row r="14" spans="1:20" x14ac:dyDescent="0.3">
      <c r="B14" s="34"/>
      <c r="C14" s="6" t="s">
        <v>0</v>
      </c>
      <c r="D14" s="4" t="s">
        <v>1</v>
      </c>
      <c r="E14" s="4" t="s">
        <v>2</v>
      </c>
      <c r="I14" s="8" t="s">
        <v>4</v>
      </c>
      <c r="J14" s="1" t="s">
        <v>5</v>
      </c>
      <c r="P14" s="10"/>
    </row>
    <row r="15" spans="1:20" x14ac:dyDescent="0.3">
      <c r="B15" s="35"/>
      <c r="C15" s="3">
        <v>0</v>
      </c>
      <c r="D15" s="7">
        <v>-3200000</v>
      </c>
      <c r="E15" s="7">
        <v>-3200000</v>
      </c>
      <c r="I15" s="8"/>
      <c r="J15" s="1" t="s">
        <v>7</v>
      </c>
      <c r="P15" s="10"/>
    </row>
    <row r="16" spans="1:20" x14ac:dyDescent="0.3">
      <c r="B16" s="35"/>
      <c r="C16" s="3">
        <v>1</v>
      </c>
      <c r="D16" s="7">
        <v>950000</v>
      </c>
      <c r="E16" s="7">
        <f>SUM(E15+D16)</f>
        <v>-2250000</v>
      </c>
      <c r="I16" s="8"/>
      <c r="J16" s="9">
        <f>C18+ (ABS(E18)/D19)</f>
        <v>3.4117647058823528</v>
      </c>
      <c r="K16" s="10"/>
      <c r="L16" s="10"/>
      <c r="M16" s="10"/>
      <c r="N16" s="10"/>
      <c r="O16" s="10"/>
      <c r="P16" s="10"/>
    </row>
    <row r="17" spans="1:20" x14ac:dyDescent="0.3">
      <c r="B17" s="35"/>
      <c r="C17" s="3">
        <v>2</v>
      </c>
      <c r="D17" s="7">
        <v>1000000</v>
      </c>
      <c r="E17" s="7">
        <f>E16+D17</f>
        <v>-1250000</v>
      </c>
      <c r="I17" s="8"/>
    </row>
    <row r="18" spans="1:20" x14ac:dyDescent="0.3">
      <c r="B18" s="35"/>
      <c r="C18" s="3">
        <v>3</v>
      </c>
      <c r="D18" s="7">
        <v>900000</v>
      </c>
      <c r="E18" s="7">
        <f>E17+D18</f>
        <v>-350000</v>
      </c>
      <c r="I18" s="8"/>
    </row>
    <row r="19" spans="1:20" x14ac:dyDescent="0.3">
      <c r="B19" s="35"/>
      <c r="C19" s="3">
        <v>4</v>
      </c>
      <c r="D19" s="7">
        <v>850000</v>
      </c>
      <c r="E19" s="7">
        <f>E18+D19</f>
        <v>500000</v>
      </c>
      <c r="I19" s="8"/>
    </row>
    <row r="20" spans="1:20" x14ac:dyDescent="0.3">
      <c r="B20" s="36"/>
      <c r="C20" s="3">
        <v>5</v>
      </c>
      <c r="D20" s="7">
        <v>700000</v>
      </c>
      <c r="E20" s="7">
        <f>E19+D20</f>
        <v>1200000</v>
      </c>
      <c r="I20" s="8"/>
    </row>
    <row r="21" spans="1:20" x14ac:dyDescent="0.3">
      <c r="I21" s="8"/>
    </row>
    <row r="22" spans="1:20" x14ac:dyDescent="0.3">
      <c r="I22" s="8"/>
    </row>
    <row r="23" spans="1:20" x14ac:dyDescent="0.3">
      <c r="A23" s="1" t="s">
        <v>11</v>
      </c>
      <c r="B23" s="1" t="s">
        <v>18</v>
      </c>
      <c r="E23" s="13">
        <v>3600000</v>
      </c>
      <c r="I23" s="8"/>
    </row>
    <row r="24" spans="1:20" x14ac:dyDescent="0.3">
      <c r="B24" s="5" t="s">
        <v>3</v>
      </c>
      <c r="C24" s="31"/>
      <c r="D24" s="32"/>
      <c r="E24" s="33"/>
      <c r="I24" s="8"/>
    </row>
    <row r="25" spans="1:20" x14ac:dyDescent="0.3">
      <c r="B25" s="34"/>
      <c r="C25" s="6" t="s">
        <v>0</v>
      </c>
      <c r="D25" s="4" t="s">
        <v>1</v>
      </c>
      <c r="E25" s="4" t="s">
        <v>12</v>
      </c>
      <c r="I25" s="8" t="s">
        <v>14</v>
      </c>
      <c r="J25" s="1" t="s">
        <v>15</v>
      </c>
    </row>
    <row r="26" spans="1:20" x14ac:dyDescent="0.3">
      <c r="B26" s="35"/>
      <c r="C26" s="3">
        <v>1</v>
      </c>
      <c r="D26" s="7">
        <v>650000</v>
      </c>
      <c r="E26" s="7">
        <f>D26 * (1 + 0.12)^-1</f>
        <v>580357.14285714284</v>
      </c>
      <c r="I26" s="8" t="s">
        <v>16</v>
      </c>
      <c r="J26" s="1" t="s">
        <v>17</v>
      </c>
    </row>
    <row r="27" spans="1:20" x14ac:dyDescent="0.3">
      <c r="B27" s="35"/>
      <c r="C27" s="3">
        <v>2</v>
      </c>
      <c r="D27" s="7">
        <v>1100000</v>
      </c>
      <c r="E27" s="7">
        <f>D27 * (1 + 0.12)^-2</f>
        <v>876913.26530612237</v>
      </c>
      <c r="I27" s="8"/>
      <c r="J27" s="13">
        <f>E31-E23</f>
        <v>-60273.03134947503</v>
      </c>
      <c r="K27" s="10"/>
      <c r="L27" s="10"/>
      <c r="M27" s="10"/>
      <c r="N27" s="10"/>
      <c r="O27" s="10"/>
      <c r="P27" s="10"/>
    </row>
    <row r="28" spans="1:20" x14ac:dyDescent="0.3">
      <c r="B28" s="35"/>
      <c r="C28" s="3">
        <v>3</v>
      </c>
      <c r="D28" s="13">
        <v>1250000</v>
      </c>
      <c r="E28" s="7">
        <f>D28 * (1 + 0.12)^-3</f>
        <v>889725.30976676359</v>
      </c>
      <c r="I28" s="8"/>
      <c r="P28" s="10"/>
    </row>
    <row r="29" spans="1:20" x14ac:dyDescent="0.3">
      <c r="B29" s="35"/>
      <c r="C29" s="11">
        <v>4</v>
      </c>
      <c r="D29" s="12">
        <v>850000</v>
      </c>
      <c r="E29" s="7">
        <f>D29 * (1 + 0.12)^-4</f>
        <v>540190.36664410657</v>
      </c>
      <c r="I29" s="8"/>
      <c r="P29" s="10"/>
    </row>
    <row r="30" spans="1:20" x14ac:dyDescent="0.3">
      <c r="B30" s="36"/>
      <c r="C30" s="2">
        <v>5</v>
      </c>
      <c r="D30" s="14">
        <v>1150000</v>
      </c>
      <c r="E30" s="7">
        <f>D30 * (1 + 0.12)^-5</f>
        <v>652540.88407638902</v>
      </c>
      <c r="I30" s="8"/>
      <c r="P30" s="10"/>
    </row>
    <row r="31" spans="1:20" x14ac:dyDescent="0.3">
      <c r="B31" s="2" t="s">
        <v>13</v>
      </c>
      <c r="C31" s="31"/>
      <c r="D31" s="33"/>
      <c r="E31" s="7">
        <f>SUM(E26:E30)</f>
        <v>3539726.968650525</v>
      </c>
      <c r="I31" s="8"/>
      <c r="P31" s="10"/>
    </row>
    <row r="32" spans="1:20" x14ac:dyDescent="0.3">
      <c r="I32" s="8"/>
      <c r="P32" s="10"/>
      <c r="Q32" s="10"/>
      <c r="R32" s="10"/>
      <c r="S32" s="1" t="s">
        <v>10</v>
      </c>
      <c r="T32" s="13">
        <f>J27</f>
        <v>-60273.03134947503</v>
      </c>
    </row>
    <row r="33" spans="1:20" x14ac:dyDescent="0.3">
      <c r="I33" s="8"/>
      <c r="P33" s="10"/>
      <c r="Q33" s="10"/>
      <c r="R33" s="10"/>
      <c r="S33" s="1" t="s">
        <v>6</v>
      </c>
      <c r="T33" s="13">
        <f>J38</f>
        <v>204976.14577445388</v>
      </c>
    </row>
    <row r="34" spans="1:20" x14ac:dyDescent="0.3">
      <c r="B34" s="1" t="s">
        <v>18</v>
      </c>
      <c r="E34" s="13">
        <v>3200000</v>
      </c>
      <c r="I34" s="8"/>
      <c r="P34" s="10"/>
    </row>
    <row r="35" spans="1:20" x14ac:dyDescent="0.3">
      <c r="B35" s="5" t="s">
        <v>6</v>
      </c>
      <c r="C35" s="31"/>
      <c r="D35" s="32"/>
      <c r="E35" s="33"/>
      <c r="I35" s="8"/>
      <c r="P35" s="10"/>
    </row>
    <row r="36" spans="1:20" x14ac:dyDescent="0.3">
      <c r="B36" s="34"/>
      <c r="C36" s="6" t="s">
        <v>0</v>
      </c>
      <c r="D36" s="4" t="s">
        <v>1</v>
      </c>
      <c r="E36" s="4" t="s">
        <v>12</v>
      </c>
      <c r="I36" s="8" t="s">
        <v>14</v>
      </c>
      <c r="J36" s="1" t="s">
        <v>15</v>
      </c>
      <c r="P36" s="10"/>
    </row>
    <row r="37" spans="1:20" x14ac:dyDescent="0.3">
      <c r="B37" s="35"/>
      <c r="C37" s="3">
        <v>1</v>
      </c>
      <c r="D37" s="7">
        <v>950000</v>
      </c>
      <c r="E37" s="7">
        <f>D37 * (1 + 0.12)^-1</f>
        <v>848214.28571428568</v>
      </c>
      <c r="I37" s="8" t="s">
        <v>16</v>
      </c>
      <c r="J37" s="1" t="s">
        <v>17</v>
      </c>
      <c r="P37" s="10"/>
    </row>
    <row r="38" spans="1:20" x14ac:dyDescent="0.3">
      <c r="B38" s="35"/>
      <c r="C38" s="3">
        <v>2</v>
      </c>
      <c r="D38" s="7">
        <v>1000000</v>
      </c>
      <c r="E38" s="7">
        <f>D38 * (1 + 0.12)^-2</f>
        <v>797193.87755102036</v>
      </c>
      <c r="I38" s="8"/>
      <c r="J38" s="13">
        <f>E42-E34</f>
        <v>204976.14577445388</v>
      </c>
      <c r="K38" s="10"/>
      <c r="L38" s="10"/>
      <c r="M38" s="10"/>
      <c r="N38" s="10"/>
      <c r="O38" s="10"/>
      <c r="P38" s="10"/>
    </row>
    <row r="39" spans="1:20" x14ac:dyDescent="0.3">
      <c r="B39" s="35"/>
      <c r="C39" s="3">
        <v>3</v>
      </c>
      <c r="D39" s="13">
        <v>900000</v>
      </c>
      <c r="E39" s="7">
        <f>D39 * (1 + 0.12)^-3</f>
        <v>640602.22303206974</v>
      </c>
      <c r="I39" s="8"/>
    </row>
    <row r="40" spans="1:20" x14ac:dyDescent="0.3">
      <c r="B40" s="35"/>
      <c r="C40" s="11">
        <v>4</v>
      </c>
      <c r="D40" s="12">
        <v>850000</v>
      </c>
      <c r="E40" s="7">
        <f>D40 * (1 + 0.12)^-4</f>
        <v>540190.36664410657</v>
      </c>
      <c r="I40" s="8"/>
    </row>
    <row r="41" spans="1:20" x14ac:dyDescent="0.3">
      <c r="B41" s="36"/>
      <c r="C41" s="2">
        <v>5</v>
      </c>
      <c r="D41" s="7">
        <v>1020000</v>
      </c>
      <c r="E41" s="7">
        <f>D41 * (1 + 0.12)^-5</f>
        <v>578775.39283297118</v>
      </c>
      <c r="I41" s="8"/>
    </row>
    <row r="42" spans="1:20" x14ac:dyDescent="0.3">
      <c r="B42" s="2" t="s">
        <v>13</v>
      </c>
      <c r="C42" s="31"/>
      <c r="D42" s="33"/>
      <c r="E42" s="7">
        <f>SUM(E37:E41)</f>
        <v>3404976.1457744539</v>
      </c>
      <c r="I42" s="8"/>
    </row>
    <row r="43" spans="1:20" x14ac:dyDescent="0.3">
      <c r="I43" s="8"/>
    </row>
    <row r="44" spans="1:20" x14ac:dyDescent="0.3">
      <c r="I44" s="8"/>
    </row>
    <row r="45" spans="1:20" x14ac:dyDescent="0.3">
      <c r="A45" s="1" t="s">
        <v>19</v>
      </c>
      <c r="I45" s="8"/>
    </row>
    <row r="46" spans="1:20" x14ac:dyDescent="0.3">
      <c r="B46" s="15" t="s">
        <v>10</v>
      </c>
      <c r="I46" s="8"/>
    </row>
    <row r="47" spans="1:20" x14ac:dyDescent="0.3">
      <c r="B47" s="1" t="s">
        <v>20</v>
      </c>
      <c r="D47" s="1" t="s">
        <v>21</v>
      </c>
      <c r="I47" s="8"/>
      <c r="J47" s="13">
        <f>(E23-400000)/5</f>
        <v>640000</v>
      </c>
    </row>
    <row r="48" spans="1:20" x14ac:dyDescent="0.3">
      <c r="B48" s="1" t="s">
        <v>22</v>
      </c>
      <c r="D48" s="1" t="s">
        <v>23</v>
      </c>
      <c r="I48" s="8"/>
      <c r="J48" s="13">
        <f>SUM(D26:D29)+750000</f>
        <v>4600000</v>
      </c>
    </row>
    <row r="49" spans="2:10" x14ac:dyDescent="0.3">
      <c r="B49" s="1" t="s">
        <v>24</v>
      </c>
      <c r="D49" s="1" t="s">
        <v>25</v>
      </c>
      <c r="I49" s="8"/>
      <c r="J49" s="13">
        <f>J47*5</f>
        <v>3200000</v>
      </c>
    </row>
    <row r="50" spans="2:10" x14ac:dyDescent="0.3">
      <c r="B50" s="1" t="s">
        <v>26</v>
      </c>
      <c r="D50" s="1" t="s">
        <v>27</v>
      </c>
      <c r="I50" s="8"/>
      <c r="J50" s="13">
        <f>(J48-J49)/5</f>
        <v>280000</v>
      </c>
    </row>
    <row r="51" spans="2:10" x14ac:dyDescent="0.3">
      <c r="B51" s="1" t="s">
        <v>28</v>
      </c>
      <c r="D51" s="1" t="s">
        <v>29</v>
      </c>
      <c r="I51" s="8"/>
      <c r="J51" s="13">
        <f>(E23+400000)/2</f>
        <v>2000000</v>
      </c>
    </row>
    <row r="52" spans="2:10" x14ac:dyDescent="0.3">
      <c r="I52" s="8"/>
    </row>
    <row r="53" spans="2:10" x14ac:dyDescent="0.3">
      <c r="B53" s="15" t="s">
        <v>30</v>
      </c>
      <c r="D53" s="1" t="s">
        <v>31</v>
      </c>
      <c r="I53" s="8"/>
      <c r="J53" s="16">
        <f>(J50/J51)</f>
        <v>0.14000000000000001</v>
      </c>
    </row>
    <row r="54" spans="2:10" x14ac:dyDescent="0.3">
      <c r="I54" s="8"/>
    </row>
    <row r="55" spans="2:10" x14ac:dyDescent="0.3">
      <c r="I55" s="8"/>
    </row>
    <row r="56" spans="2:10" x14ac:dyDescent="0.3">
      <c r="B56" s="15" t="s">
        <v>6</v>
      </c>
      <c r="I56" s="8"/>
    </row>
    <row r="57" spans="2:10" x14ac:dyDescent="0.3">
      <c r="B57" s="1" t="s">
        <v>20</v>
      </c>
      <c r="D57" s="1" t="s">
        <v>21</v>
      </c>
      <c r="I57" s="8"/>
      <c r="J57" s="13">
        <f>(E34-320000)/5</f>
        <v>576000</v>
      </c>
    </row>
    <row r="58" spans="2:10" x14ac:dyDescent="0.3">
      <c r="B58" s="1" t="s">
        <v>22</v>
      </c>
      <c r="D58" s="1" t="s">
        <v>23</v>
      </c>
      <c r="I58" s="8"/>
      <c r="J58" s="13">
        <f>SUM(D37:D40)+700000</f>
        <v>4400000</v>
      </c>
    </row>
    <row r="59" spans="2:10" x14ac:dyDescent="0.3">
      <c r="B59" s="1" t="s">
        <v>24</v>
      </c>
      <c r="D59" s="1" t="s">
        <v>25</v>
      </c>
      <c r="I59" s="8"/>
      <c r="J59" s="13">
        <f>J57*5</f>
        <v>2880000</v>
      </c>
    </row>
    <row r="60" spans="2:10" x14ac:dyDescent="0.3">
      <c r="B60" s="1" t="s">
        <v>26</v>
      </c>
      <c r="D60" s="1" t="s">
        <v>27</v>
      </c>
      <c r="I60" s="8"/>
      <c r="J60" s="13">
        <f>(J58-J59)/5</f>
        <v>304000</v>
      </c>
    </row>
    <row r="61" spans="2:10" x14ac:dyDescent="0.3">
      <c r="B61" s="1" t="s">
        <v>28</v>
      </c>
      <c r="D61" s="1" t="s">
        <v>29</v>
      </c>
      <c r="I61" s="8"/>
      <c r="J61" s="13">
        <f>(E34+320000)/2</f>
        <v>1760000</v>
      </c>
    </row>
    <row r="62" spans="2:10" x14ac:dyDescent="0.3">
      <c r="I62" s="8"/>
    </row>
    <row r="63" spans="2:10" x14ac:dyDescent="0.3">
      <c r="B63" s="15" t="s">
        <v>30</v>
      </c>
      <c r="D63" s="1" t="s">
        <v>31</v>
      </c>
      <c r="I63" s="8"/>
      <c r="J63" s="16">
        <f>J60/J61</f>
        <v>0.17272727272727273</v>
      </c>
    </row>
    <row r="64" spans="2:10" x14ac:dyDescent="0.3">
      <c r="I64" s="8"/>
    </row>
    <row r="65" spans="1:9" x14ac:dyDescent="0.3">
      <c r="I65" s="8"/>
    </row>
    <row r="66" spans="1:9" x14ac:dyDescent="0.3">
      <c r="A66" s="1" t="s">
        <v>41</v>
      </c>
      <c r="I66" s="8"/>
    </row>
    <row r="67" spans="1:9" x14ac:dyDescent="0.3">
      <c r="B67" s="1" t="s">
        <v>48</v>
      </c>
      <c r="C67" s="1">
        <v>60</v>
      </c>
      <c r="I67" s="8"/>
    </row>
    <row r="68" spans="1:9" x14ac:dyDescent="0.3">
      <c r="B68" s="1" t="s">
        <v>42</v>
      </c>
      <c r="C68" s="1">
        <v>7.4999999999999997E-2</v>
      </c>
      <c r="I68" s="8"/>
    </row>
    <row r="69" spans="1:9" x14ac:dyDescent="0.3">
      <c r="B69" s="1" t="s">
        <v>43</v>
      </c>
      <c r="C69" s="1">
        <v>1000</v>
      </c>
      <c r="I69" s="8"/>
    </row>
    <row r="70" spans="1:9" x14ac:dyDescent="0.3">
      <c r="B70" s="1" t="s">
        <v>44</v>
      </c>
      <c r="C70" s="1">
        <v>8</v>
      </c>
      <c r="I70" s="8"/>
    </row>
    <row r="71" spans="1:9" x14ac:dyDescent="0.3">
      <c r="I71" s="8"/>
    </row>
    <row r="72" spans="1:9" x14ac:dyDescent="0.3">
      <c r="B72" s="1" t="s">
        <v>45</v>
      </c>
      <c r="F72" s="9">
        <f>C67*((1-(1+C68)^-C70)/C68)+C69/(1+C68)^C70</f>
        <v>912.14044667867597</v>
      </c>
      <c r="I72" s="8"/>
    </row>
    <row r="73" spans="1:9" x14ac:dyDescent="0.3">
      <c r="I73" s="8"/>
    </row>
    <row r="74" spans="1:9" x14ac:dyDescent="0.3">
      <c r="B74" s="15"/>
      <c r="I74" s="8"/>
    </row>
    <row r="75" spans="1:9" x14ac:dyDescent="0.3">
      <c r="I75" s="8"/>
    </row>
    <row r="76" spans="1:9" x14ac:dyDescent="0.3">
      <c r="I76" s="8"/>
    </row>
    <row r="77" spans="1:9" x14ac:dyDescent="0.3">
      <c r="A77" s="1" t="s">
        <v>46</v>
      </c>
      <c r="I77" s="8"/>
    </row>
    <row r="78" spans="1:9" x14ac:dyDescent="0.3">
      <c r="B78" s="1" t="s">
        <v>47</v>
      </c>
      <c r="D78" s="7">
        <f>F72*50000</f>
        <v>45607022.3339338</v>
      </c>
      <c r="I78" s="8"/>
    </row>
    <row r="79" spans="1:9" x14ac:dyDescent="0.3">
      <c r="I79" s="8"/>
    </row>
    <row r="80" spans="1:9" x14ac:dyDescent="0.3">
      <c r="I80" s="8"/>
    </row>
    <row r="81" spans="1:9" x14ac:dyDescent="0.3">
      <c r="A81" s="1" t="s">
        <v>49</v>
      </c>
      <c r="I81" s="8"/>
    </row>
    <row r="82" spans="1:9" x14ac:dyDescent="0.3">
      <c r="B82" s="1" t="s">
        <v>63</v>
      </c>
      <c r="C82" s="41" t="s">
        <v>65</v>
      </c>
      <c r="D82" s="41"/>
      <c r="E82" s="7">
        <f>2000000*12</f>
        <v>24000000</v>
      </c>
      <c r="I82" s="8"/>
    </row>
    <row r="83" spans="1:9" x14ac:dyDescent="0.3">
      <c r="B83" s="1" t="s">
        <v>64</v>
      </c>
      <c r="C83" s="41" t="s">
        <v>66</v>
      </c>
      <c r="D83" s="41"/>
      <c r="E83" s="7">
        <v>10000000</v>
      </c>
      <c r="I83" s="8"/>
    </row>
    <row r="84" spans="1:9" x14ac:dyDescent="0.3">
      <c r="B84" s="1" t="s">
        <v>67</v>
      </c>
      <c r="E84" s="24">
        <f>E82/(E83+E82)</f>
        <v>0.70588235294117652</v>
      </c>
    </row>
    <row r="85" spans="1:9" x14ac:dyDescent="0.3">
      <c r="B85" s="1" t="s">
        <v>68</v>
      </c>
      <c r="E85" s="24">
        <f>E83/(E82+E83)</f>
        <v>0.29411764705882354</v>
      </c>
    </row>
    <row r="86" spans="1:9" x14ac:dyDescent="0.3">
      <c r="B86" s="1" t="s">
        <v>69</v>
      </c>
      <c r="E86" s="24">
        <f>(D87/12)+0.05</f>
        <v>0.12000000000000001</v>
      </c>
    </row>
    <row r="87" spans="1:9" x14ac:dyDescent="0.3">
      <c r="C87" s="1" t="s">
        <v>70</v>
      </c>
      <c r="D87" s="1">
        <f>0.8*(1+0.05)</f>
        <v>0.84000000000000008</v>
      </c>
      <c r="E87" s="24"/>
    </row>
    <row r="88" spans="1:9" x14ac:dyDescent="0.3">
      <c r="B88" s="1" t="s">
        <v>71</v>
      </c>
      <c r="E88" s="24">
        <f>0.06*(1-0.25)</f>
        <v>4.4999999999999998E-2</v>
      </c>
    </row>
    <row r="90" spans="1:9" x14ac:dyDescent="0.3">
      <c r="B90" s="1" t="s">
        <v>72</v>
      </c>
      <c r="E90" s="22">
        <f>(E84*E86)+(E85*E88)</f>
        <v>9.794117647058824E-2</v>
      </c>
    </row>
  </sheetData>
  <mergeCells count="12">
    <mergeCell ref="C82:D82"/>
    <mergeCell ref="C83:D83"/>
    <mergeCell ref="C2:E2"/>
    <mergeCell ref="C13:E13"/>
    <mergeCell ref="B14:B20"/>
    <mergeCell ref="C24:E24"/>
    <mergeCell ref="B25:B30"/>
    <mergeCell ref="C31:D31"/>
    <mergeCell ref="C35:E35"/>
    <mergeCell ref="B36:B41"/>
    <mergeCell ref="C42:D42"/>
    <mergeCell ref="B3:B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1668-73A1-4BDC-B2BE-A3158A1A33E8}">
  <dimension ref="A1:T90"/>
  <sheetViews>
    <sheetView workbookViewId="0">
      <selection activeCell="B7" sqref="B7"/>
    </sheetView>
  </sheetViews>
  <sheetFormatPr defaultRowHeight="18.75" x14ac:dyDescent="0.3"/>
  <cols>
    <col min="1" max="1" width="9.140625" style="1"/>
    <col min="2" max="2" width="34.5703125" style="1" customWidth="1"/>
    <col min="3" max="3" width="21.140625" style="1" customWidth="1"/>
    <col min="4" max="4" width="33.7109375" style="1" customWidth="1"/>
    <col min="5" max="5" width="27.28515625" style="1" customWidth="1"/>
    <col min="6" max="6" width="18.5703125" style="1" customWidth="1"/>
    <col min="7" max="7" width="9.140625" style="1"/>
    <col min="8" max="8" width="11.5703125" style="1" bestFit="1" customWidth="1"/>
    <col min="9" max="9" width="21.5703125" style="1" customWidth="1"/>
    <col min="10" max="10" width="31.7109375" style="1" customWidth="1"/>
    <col min="11" max="18" width="9.140625" style="1"/>
    <col min="19" max="19" width="14.7109375" style="1" customWidth="1"/>
    <col min="20" max="20" width="10.5703125" style="1" bestFit="1" customWidth="1"/>
    <col min="21" max="21" width="9.140625" style="1"/>
    <col min="22" max="22" width="15.85546875" style="1" customWidth="1"/>
    <col min="23" max="16384" width="9.140625" style="1"/>
  </cols>
  <sheetData>
    <row r="1" spans="1:20" x14ac:dyDescent="0.3">
      <c r="A1" s="1" t="s">
        <v>9</v>
      </c>
      <c r="I1" s="8"/>
    </row>
    <row r="2" spans="1:20" x14ac:dyDescent="0.3">
      <c r="D2" s="1" t="s">
        <v>70</v>
      </c>
      <c r="E2" s="23" t="s">
        <v>75</v>
      </c>
      <c r="F2" s="9">
        <f>0.45*(1+0.06)</f>
        <v>0.47700000000000004</v>
      </c>
      <c r="I2" s="8"/>
    </row>
    <row r="3" spans="1:20" x14ac:dyDescent="0.3">
      <c r="B3" s="1" t="s">
        <v>73</v>
      </c>
      <c r="D3" s="23" t="s">
        <v>74</v>
      </c>
      <c r="E3" s="23" t="s">
        <v>76</v>
      </c>
      <c r="F3" s="22">
        <f>(F2/6.5)+0.06</f>
        <v>0.13338461538461538</v>
      </c>
      <c r="I3" s="8"/>
    </row>
    <row r="4" spans="1:20" x14ac:dyDescent="0.3">
      <c r="I4" s="8"/>
    </row>
    <row r="5" spans="1:20" x14ac:dyDescent="0.3">
      <c r="A5" s="1" t="s">
        <v>11</v>
      </c>
      <c r="I5" s="8"/>
      <c r="J5" s="9"/>
    </row>
    <row r="6" spans="1:20" x14ac:dyDescent="0.3">
      <c r="B6" s="1" t="s">
        <v>77</v>
      </c>
      <c r="C6" s="1">
        <v>100</v>
      </c>
      <c r="I6" s="8"/>
    </row>
    <row r="7" spans="1:20" x14ac:dyDescent="0.3">
      <c r="B7" s="1" t="s">
        <v>78</v>
      </c>
      <c r="C7" s="1">
        <f>7%*100</f>
        <v>7.0000000000000009</v>
      </c>
      <c r="I7" s="8"/>
    </row>
    <row r="8" spans="1:20" x14ac:dyDescent="0.3">
      <c r="B8" s="1" t="s">
        <v>79</v>
      </c>
      <c r="C8" s="1">
        <v>92</v>
      </c>
      <c r="I8" s="8"/>
    </row>
    <row r="9" spans="1:20" x14ac:dyDescent="0.3">
      <c r="B9" s="1" t="s">
        <v>80</v>
      </c>
      <c r="C9" s="1">
        <v>6</v>
      </c>
      <c r="I9" s="8"/>
      <c r="T9" s="9"/>
    </row>
    <row r="10" spans="1:20" x14ac:dyDescent="0.3">
      <c r="I10" s="8"/>
      <c r="T10" s="9"/>
    </row>
    <row r="11" spans="1:20" x14ac:dyDescent="0.3">
      <c r="B11" s="1" t="s">
        <v>81</v>
      </c>
      <c r="I11" s="8"/>
    </row>
    <row r="12" spans="1:20" x14ac:dyDescent="0.3">
      <c r="B12" s="1" t="s">
        <v>86</v>
      </c>
      <c r="I12" s="8"/>
    </row>
    <row r="13" spans="1:20" x14ac:dyDescent="0.3">
      <c r="B13" s="1" t="s">
        <v>82</v>
      </c>
      <c r="I13" s="8"/>
    </row>
    <row r="14" spans="1:20" x14ac:dyDescent="0.3">
      <c r="B14" s="1" t="s">
        <v>83</v>
      </c>
      <c r="I14" s="8"/>
    </row>
    <row r="15" spans="1:20" x14ac:dyDescent="0.3">
      <c r="B15" s="1" t="s">
        <v>84</v>
      </c>
      <c r="D15" s="26" t="s">
        <v>87</v>
      </c>
      <c r="E15" s="26"/>
      <c r="I15" s="8"/>
    </row>
    <row r="16" spans="1:20" x14ac:dyDescent="0.3">
      <c r="B16" s="1" t="s">
        <v>85</v>
      </c>
      <c r="I16" s="8"/>
      <c r="J16" s="9"/>
    </row>
    <row r="17" spans="1:20" x14ac:dyDescent="0.3">
      <c r="B17" s="25"/>
      <c r="C17" s="25"/>
      <c r="D17" s="25"/>
      <c r="E17" s="25"/>
      <c r="I17" s="8"/>
    </row>
    <row r="18" spans="1:20" x14ac:dyDescent="0.3">
      <c r="B18" s="23" t="s">
        <v>88</v>
      </c>
      <c r="I18" s="8"/>
    </row>
    <row r="19" spans="1:20" x14ac:dyDescent="0.3">
      <c r="I19" s="8"/>
    </row>
    <row r="20" spans="1:20" x14ac:dyDescent="0.3">
      <c r="B20" s="1" t="s">
        <v>89</v>
      </c>
      <c r="D20" s="1" t="s">
        <v>90</v>
      </c>
      <c r="E20" s="22">
        <f>8.77%*(1-30%)</f>
        <v>6.1389999999999993E-2</v>
      </c>
      <c r="I20" s="8"/>
    </row>
    <row r="21" spans="1:20" x14ac:dyDescent="0.3">
      <c r="I21" s="8"/>
    </row>
    <row r="22" spans="1:20" x14ac:dyDescent="0.3">
      <c r="A22" s="1" t="s">
        <v>19</v>
      </c>
      <c r="I22" s="8"/>
    </row>
    <row r="23" spans="1:20" x14ac:dyDescent="0.3">
      <c r="B23" s="1" t="s">
        <v>91</v>
      </c>
      <c r="C23" s="16">
        <f>E20</f>
        <v>6.1389999999999993E-2</v>
      </c>
      <c r="I23" s="8"/>
    </row>
    <row r="24" spans="1:20" x14ac:dyDescent="0.3">
      <c r="B24" s="1" t="s">
        <v>92</v>
      </c>
      <c r="C24" s="16">
        <f>F3</f>
        <v>0.13338461538461538</v>
      </c>
      <c r="I24" s="8"/>
    </row>
    <row r="25" spans="1:20" x14ac:dyDescent="0.3">
      <c r="B25" s="1" t="s">
        <v>93</v>
      </c>
      <c r="C25" s="7">
        <f>4000000*6.5</f>
        <v>26000000</v>
      </c>
      <c r="D25" s="1" t="s">
        <v>94</v>
      </c>
      <c r="E25" s="22">
        <f>C25/(C26+C25)</f>
        <v>0.77937649880095927</v>
      </c>
      <c r="I25" s="8"/>
    </row>
    <row r="26" spans="1:20" x14ac:dyDescent="0.3">
      <c r="B26" s="1" t="s">
        <v>97</v>
      </c>
      <c r="C26" s="7">
        <f>92*80000</f>
        <v>7360000</v>
      </c>
      <c r="D26" s="1" t="s">
        <v>95</v>
      </c>
      <c r="E26" s="22">
        <f>C26/(C25+C26)</f>
        <v>0.22062350119904076</v>
      </c>
      <c r="I26" s="8"/>
    </row>
    <row r="27" spans="1:20" x14ac:dyDescent="0.3">
      <c r="I27" s="8"/>
      <c r="J27" s="13"/>
    </row>
    <row r="28" spans="1:20" x14ac:dyDescent="0.3">
      <c r="B28" s="1" t="s">
        <v>96</v>
      </c>
      <c r="C28" s="16">
        <f>(E26*C23)+(E25*C24)</f>
        <v>0.11750091127098321</v>
      </c>
      <c r="I28" s="8"/>
    </row>
    <row r="29" spans="1:20" x14ac:dyDescent="0.3">
      <c r="I29" s="8"/>
    </row>
    <row r="30" spans="1:20" x14ac:dyDescent="0.3">
      <c r="A30" s="1" t="s">
        <v>98</v>
      </c>
      <c r="I30" s="8"/>
    </row>
    <row r="31" spans="1:20" x14ac:dyDescent="0.3">
      <c r="B31" s="30" t="s">
        <v>99</v>
      </c>
      <c r="C31" s="30"/>
      <c r="I31" s="8"/>
    </row>
    <row r="32" spans="1:20" x14ac:dyDescent="0.3">
      <c r="I32" s="8"/>
      <c r="T32" s="13"/>
    </row>
    <row r="33" spans="2:20" x14ac:dyDescent="0.3">
      <c r="B33" s="1" t="s">
        <v>18</v>
      </c>
      <c r="E33" s="13">
        <v>5000000</v>
      </c>
      <c r="I33" s="8"/>
      <c r="T33" s="13"/>
    </row>
    <row r="34" spans="2:20" x14ac:dyDescent="0.3">
      <c r="B34" s="5" t="s">
        <v>3</v>
      </c>
      <c r="C34" s="31"/>
      <c r="D34" s="32"/>
      <c r="E34" s="33"/>
      <c r="I34" s="8"/>
    </row>
    <row r="35" spans="2:20" x14ac:dyDescent="0.3">
      <c r="B35" s="34"/>
      <c r="C35" s="6" t="s">
        <v>0</v>
      </c>
      <c r="D35" s="4" t="s">
        <v>1</v>
      </c>
      <c r="E35" s="4" t="s">
        <v>12</v>
      </c>
      <c r="G35" s="26" t="s">
        <v>100</v>
      </c>
      <c r="H35" s="26"/>
      <c r="I35" s="27"/>
    </row>
    <row r="36" spans="2:20" x14ac:dyDescent="0.3">
      <c r="B36" s="35"/>
      <c r="C36" s="3">
        <v>1</v>
      </c>
      <c r="D36" s="7">
        <v>800000</v>
      </c>
      <c r="E36" s="7">
        <f>D36 * (1 + 0.12)^-1</f>
        <v>714285.7142857142</v>
      </c>
      <c r="G36" s="23" t="s">
        <v>101</v>
      </c>
      <c r="H36" s="28">
        <f>E41-E33</f>
        <v>-190697.2587686684</v>
      </c>
      <c r="I36" s="29"/>
    </row>
    <row r="37" spans="2:20" x14ac:dyDescent="0.3">
      <c r="B37" s="35"/>
      <c r="C37" s="3">
        <v>2</v>
      </c>
      <c r="D37" s="7">
        <v>1400000</v>
      </c>
      <c r="E37" s="7">
        <f>D37 * (1 + 0.12)^-2</f>
        <v>1116071.4285714284</v>
      </c>
      <c r="I37" s="8"/>
    </row>
    <row r="38" spans="2:20" x14ac:dyDescent="0.3">
      <c r="B38" s="35"/>
      <c r="C38" s="3">
        <v>3</v>
      </c>
      <c r="D38" s="13">
        <v>1800000</v>
      </c>
      <c r="E38" s="7">
        <f>D38 * (1 + 0.12)^-3</f>
        <v>1281204.4460641395</v>
      </c>
      <c r="I38" s="8"/>
      <c r="J38" s="13"/>
    </row>
    <row r="39" spans="2:20" x14ac:dyDescent="0.3">
      <c r="B39" s="35"/>
      <c r="C39" s="11">
        <v>4</v>
      </c>
      <c r="D39" s="12">
        <v>1600000</v>
      </c>
      <c r="E39" s="7">
        <f>D39 * (1 + 0.12)^-4</f>
        <v>1016828.9254477299</v>
      </c>
      <c r="I39" s="8"/>
    </row>
    <row r="40" spans="2:20" x14ac:dyDescent="0.3">
      <c r="B40" s="36"/>
      <c r="C40" s="2">
        <v>5</v>
      </c>
      <c r="D40" s="14">
        <v>1200000</v>
      </c>
      <c r="E40" s="7">
        <f>D40 * (1 + 0.12)^-5</f>
        <v>680912.22686231905</v>
      </c>
      <c r="I40" s="8"/>
    </row>
    <row r="41" spans="2:20" x14ac:dyDescent="0.3">
      <c r="B41" s="2" t="s">
        <v>13</v>
      </c>
      <c r="C41" s="31"/>
      <c r="D41" s="33"/>
      <c r="E41" s="7">
        <f>SUM(E36:E40)</f>
        <v>4809302.7412313316</v>
      </c>
      <c r="I41" s="8"/>
    </row>
    <row r="42" spans="2:20" x14ac:dyDescent="0.3">
      <c r="I42" s="8"/>
    </row>
    <row r="43" spans="2:20" x14ac:dyDescent="0.3">
      <c r="I43" s="8"/>
    </row>
    <row r="44" spans="2:20" x14ac:dyDescent="0.3">
      <c r="I44" s="8"/>
    </row>
    <row r="45" spans="2:20" x14ac:dyDescent="0.3">
      <c r="I45" s="8"/>
    </row>
    <row r="46" spans="2:20" x14ac:dyDescent="0.3">
      <c r="B46" s="15"/>
      <c r="I46" s="8"/>
    </row>
    <row r="47" spans="2:20" x14ac:dyDescent="0.3">
      <c r="I47" s="8"/>
      <c r="J47" s="13"/>
    </row>
    <row r="48" spans="2:20" x14ac:dyDescent="0.3">
      <c r="I48" s="8"/>
      <c r="J48" s="13"/>
    </row>
    <row r="49" spans="2:10" x14ac:dyDescent="0.3">
      <c r="I49" s="8"/>
      <c r="J49" s="13"/>
    </row>
    <row r="50" spans="2:10" x14ac:dyDescent="0.3">
      <c r="I50" s="8"/>
      <c r="J50" s="13"/>
    </row>
    <row r="51" spans="2:10" x14ac:dyDescent="0.3">
      <c r="I51" s="8"/>
      <c r="J51" s="13"/>
    </row>
    <row r="52" spans="2:10" x14ac:dyDescent="0.3">
      <c r="I52" s="8"/>
    </row>
    <row r="53" spans="2:10" x14ac:dyDescent="0.3">
      <c r="B53" s="15"/>
      <c r="I53" s="8"/>
      <c r="J53" s="16"/>
    </row>
    <row r="54" spans="2:10" x14ac:dyDescent="0.3">
      <c r="I54" s="8"/>
    </row>
    <row r="55" spans="2:10" x14ac:dyDescent="0.3">
      <c r="I55" s="8"/>
    </row>
    <row r="56" spans="2:10" x14ac:dyDescent="0.3">
      <c r="B56" s="15"/>
      <c r="I56" s="8"/>
    </row>
    <row r="57" spans="2:10" x14ac:dyDescent="0.3">
      <c r="I57" s="8"/>
      <c r="J57" s="13"/>
    </row>
    <row r="58" spans="2:10" x14ac:dyDescent="0.3">
      <c r="I58" s="8"/>
      <c r="J58" s="13"/>
    </row>
    <row r="59" spans="2:10" x14ac:dyDescent="0.3">
      <c r="I59" s="8"/>
      <c r="J59" s="13"/>
    </row>
    <row r="60" spans="2:10" x14ac:dyDescent="0.3">
      <c r="I60" s="8"/>
      <c r="J60" s="13"/>
    </row>
    <row r="61" spans="2:10" x14ac:dyDescent="0.3">
      <c r="I61" s="8"/>
      <c r="J61" s="13"/>
    </row>
    <row r="62" spans="2:10" x14ac:dyDescent="0.3">
      <c r="I62" s="8"/>
    </row>
    <row r="63" spans="2:10" x14ac:dyDescent="0.3">
      <c r="B63" s="15"/>
      <c r="I63" s="8"/>
      <c r="J63" s="16"/>
    </row>
    <row r="64" spans="2:10" x14ac:dyDescent="0.3">
      <c r="I64" s="8"/>
    </row>
    <row r="65" spans="2:9" x14ac:dyDescent="0.3">
      <c r="I65" s="8"/>
    </row>
    <row r="66" spans="2:9" x14ac:dyDescent="0.3">
      <c r="I66" s="8"/>
    </row>
    <row r="67" spans="2:9" x14ac:dyDescent="0.3">
      <c r="I67" s="8"/>
    </row>
    <row r="68" spans="2:9" x14ac:dyDescent="0.3">
      <c r="I68" s="8"/>
    </row>
    <row r="69" spans="2:9" x14ac:dyDescent="0.3">
      <c r="I69" s="8"/>
    </row>
    <row r="70" spans="2:9" x14ac:dyDescent="0.3">
      <c r="I70" s="8"/>
    </row>
    <row r="71" spans="2:9" x14ac:dyDescent="0.3">
      <c r="I71" s="8"/>
    </row>
    <row r="72" spans="2:9" x14ac:dyDescent="0.3">
      <c r="F72" s="9"/>
      <c r="I72" s="8"/>
    </row>
    <row r="73" spans="2:9" x14ac:dyDescent="0.3">
      <c r="I73" s="8"/>
    </row>
    <row r="74" spans="2:9" x14ac:dyDescent="0.3">
      <c r="B74" s="15"/>
      <c r="I74" s="8"/>
    </row>
    <row r="75" spans="2:9" x14ac:dyDescent="0.3">
      <c r="I75" s="8"/>
    </row>
    <row r="76" spans="2:9" x14ac:dyDescent="0.3">
      <c r="I76" s="8"/>
    </row>
    <row r="77" spans="2:9" x14ac:dyDescent="0.3">
      <c r="I77" s="8"/>
    </row>
    <row r="78" spans="2:9" x14ac:dyDescent="0.3">
      <c r="I78" s="8"/>
    </row>
    <row r="79" spans="2:9" x14ac:dyDescent="0.3">
      <c r="I79" s="8"/>
    </row>
    <row r="80" spans="2:9" x14ac:dyDescent="0.3">
      <c r="I80" s="8"/>
    </row>
    <row r="81" spans="5:9" x14ac:dyDescent="0.3">
      <c r="I81" s="8"/>
    </row>
    <row r="82" spans="5:9" x14ac:dyDescent="0.3">
      <c r="I82" s="8"/>
    </row>
    <row r="83" spans="5:9" x14ac:dyDescent="0.3">
      <c r="I83" s="8"/>
    </row>
    <row r="90" spans="5:9" x14ac:dyDescent="0.3">
      <c r="E90" s="22"/>
    </row>
  </sheetData>
  <mergeCells count="7">
    <mergeCell ref="C41:D41"/>
    <mergeCell ref="D15:E15"/>
    <mergeCell ref="G35:I35"/>
    <mergeCell ref="H36:I36"/>
    <mergeCell ref="B31:C31"/>
    <mergeCell ref="C34:E34"/>
    <mergeCell ref="B35:B4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F441-7569-4B8F-AADB-C5AB94906E37}">
  <dimension ref="A1:W83"/>
  <sheetViews>
    <sheetView topLeftCell="A41" workbookViewId="0">
      <selection activeCell="F33" sqref="F33"/>
    </sheetView>
  </sheetViews>
  <sheetFormatPr defaultRowHeight="18.75" x14ac:dyDescent="0.3"/>
  <cols>
    <col min="1" max="1" width="9.140625" style="1"/>
    <col min="2" max="2" width="65.7109375" style="1" customWidth="1"/>
    <col min="3" max="3" width="20.140625" style="1" customWidth="1"/>
    <col min="4" max="4" width="21.85546875" style="1" customWidth="1"/>
    <col min="5" max="5" width="27.28515625" style="1" customWidth="1"/>
    <col min="6" max="6" width="45" style="1" customWidth="1"/>
    <col min="7" max="8" width="9.140625" style="1"/>
    <col min="9" max="9" width="33.42578125" style="1" customWidth="1"/>
    <col min="10" max="10" width="31.7109375" style="1" customWidth="1"/>
    <col min="11" max="18" width="9.140625" style="1"/>
    <col min="19" max="19" width="14.7109375" style="1" customWidth="1"/>
    <col min="20" max="20" width="10.5703125" style="1" bestFit="1" customWidth="1"/>
    <col min="21" max="21" width="9.140625" style="1"/>
    <col min="22" max="22" width="15.85546875" style="1" customWidth="1"/>
    <col min="23" max="16384" width="9.140625" style="1"/>
  </cols>
  <sheetData>
    <row r="1" spans="1:23" x14ac:dyDescent="0.3">
      <c r="A1" s="1" t="s">
        <v>9</v>
      </c>
      <c r="I1" s="8"/>
    </row>
    <row r="2" spans="1:23" x14ac:dyDescent="0.3">
      <c r="B2" s="1" t="s">
        <v>18</v>
      </c>
      <c r="E2" s="13">
        <v>4500000</v>
      </c>
      <c r="I2" s="8"/>
    </row>
    <row r="3" spans="1:23" x14ac:dyDescent="0.3">
      <c r="B3" s="5" t="s">
        <v>32</v>
      </c>
      <c r="C3" s="40">
        <v>0.1</v>
      </c>
      <c r="D3" s="32"/>
      <c r="E3" s="33"/>
      <c r="I3" s="8"/>
    </row>
    <row r="4" spans="1:23" x14ac:dyDescent="0.3">
      <c r="B4" s="34"/>
      <c r="C4" s="6" t="s">
        <v>0</v>
      </c>
      <c r="D4" s="4" t="s">
        <v>1</v>
      </c>
      <c r="E4" s="4" t="s">
        <v>12</v>
      </c>
      <c r="I4" s="8" t="s">
        <v>16</v>
      </c>
      <c r="J4" s="1" t="s">
        <v>17</v>
      </c>
    </row>
    <row r="5" spans="1:23" x14ac:dyDescent="0.3">
      <c r="B5" s="35"/>
      <c r="C5" s="3">
        <v>1</v>
      </c>
      <c r="D5" s="7">
        <v>600000</v>
      </c>
      <c r="E5" s="7">
        <f>D5 * (1 + 0.1)^-1</f>
        <v>545454.54545454541</v>
      </c>
      <c r="I5" s="8"/>
      <c r="J5" s="7">
        <f>E10-E2</f>
        <v>262876.35593693797</v>
      </c>
    </row>
    <row r="6" spans="1:23" x14ac:dyDescent="0.3">
      <c r="B6" s="35"/>
      <c r="C6" s="3">
        <v>2</v>
      </c>
      <c r="D6" s="7">
        <v>1200000</v>
      </c>
      <c r="E6" s="7">
        <f>D6 * (1 + 0.1)^-2</f>
        <v>991735.53719008248</v>
      </c>
      <c r="I6" s="8"/>
    </row>
    <row r="7" spans="1:23" x14ac:dyDescent="0.3">
      <c r="B7" s="35"/>
      <c r="C7" s="3">
        <v>3</v>
      </c>
      <c r="D7" s="13">
        <v>1500000</v>
      </c>
      <c r="E7" s="7">
        <f>D7 * (1 + 0.1)^-3</f>
        <v>1126972.2013523662</v>
      </c>
      <c r="I7" s="8"/>
    </row>
    <row r="8" spans="1:23" x14ac:dyDescent="0.3">
      <c r="B8" s="35"/>
      <c r="C8" s="11">
        <v>4</v>
      </c>
      <c r="D8" s="12">
        <v>1800000</v>
      </c>
      <c r="E8" s="7">
        <f>D8 * (1 + 0.1)^-4</f>
        <v>1229424.219657127</v>
      </c>
      <c r="I8" s="8"/>
    </row>
    <row r="9" spans="1:23" x14ac:dyDescent="0.3">
      <c r="B9" s="36"/>
      <c r="C9" s="2">
        <v>5</v>
      </c>
      <c r="D9" s="14">
        <v>1400000</v>
      </c>
      <c r="E9" s="7">
        <f>D9 * (1 + 0.1)^-5</f>
        <v>869289.85228281689</v>
      </c>
      <c r="I9" s="8"/>
      <c r="W9" s="9"/>
    </row>
    <row r="10" spans="1:23" x14ac:dyDescent="0.3">
      <c r="B10" s="2" t="s">
        <v>13</v>
      </c>
      <c r="C10" s="31"/>
      <c r="D10" s="33"/>
      <c r="E10" s="7">
        <f>SUM(E5:E9)</f>
        <v>4762876.355936938</v>
      </c>
      <c r="I10" s="8"/>
      <c r="W10" s="9"/>
    </row>
    <row r="11" spans="1:23" x14ac:dyDescent="0.3">
      <c r="I11" s="8"/>
    </row>
    <row r="12" spans="1:23" x14ac:dyDescent="0.3">
      <c r="A12" s="1" t="s">
        <v>11</v>
      </c>
      <c r="I12" s="8"/>
    </row>
    <row r="13" spans="1:23" x14ac:dyDescent="0.3">
      <c r="B13" s="1" t="s">
        <v>18</v>
      </c>
      <c r="E13" s="13">
        <v>4500000</v>
      </c>
      <c r="I13" s="8"/>
    </row>
    <row r="14" spans="1:23" x14ac:dyDescent="0.3">
      <c r="B14" s="5" t="s">
        <v>32</v>
      </c>
      <c r="C14" s="40">
        <v>0.15</v>
      </c>
      <c r="D14" s="32"/>
      <c r="E14" s="33"/>
      <c r="I14" s="8"/>
    </row>
    <row r="15" spans="1:23" x14ac:dyDescent="0.3">
      <c r="B15" s="34"/>
      <c r="C15" s="6" t="s">
        <v>0</v>
      </c>
      <c r="D15" s="4" t="s">
        <v>1</v>
      </c>
      <c r="E15" s="4" t="s">
        <v>12</v>
      </c>
      <c r="I15" s="8" t="s">
        <v>16</v>
      </c>
      <c r="J15" s="1" t="s">
        <v>17</v>
      </c>
    </row>
    <row r="16" spans="1:23" x14ac:dyDescent="0.3">
      <c r="B16" s="35"/>
      <c r="C16" s="3">
        <v>1</v>
      </c>
      <c r="D16" s="7">
        <v>600000</v>
      </c>
      <c r="E16" s="7">
        <f>D16 * (1 + 0.15)^-1</f>
        <v>521739.13043478265</v>
      </c>
      <c r="I16" s="8"/>
      <c r="J16" s="7">
        <f>E21-E13</f>
        <v>-359410.84867602494</v>
      </c>
    </row>
    <row r="17" spans="1:20" x14ac:dyDescent="0.3">
      <c r="B17" s="35"/>
      <c r="C17" s="3">
        <v>2</v>
      </c>
      <c r="D17" s="7">
        <v>1200000</v>
      </c>
      <c r="E17" s="7">
        <f>D17 * (1 + 0.15)^-2</f>
        <v>907372.40075614385</v>
      </c>
      <c r="I17" s="8"/>
    </row>
    <row r="18" spans="1:20" x14ac:dyDescent="0.3">
      <c r="B18" s="35"/>
      <c r="C18" s="3">
        <v>3</v>
      </c>
      <c r="D18" s="13">
        <v>1500000</v>
      </c>
      <c r="E18" s="7">
        <f>D18 * (1 + 0.15)^-3</f>
        <v>986274.34864798246</v>
      </c>
      <c r="I18" s="8"/>
    </row>
    <row r="19" spans="1:20" x14ac:dyDescent="0.3">
      <c r="B19" s="35"/>
      <c r="C19" s="11">
        <v>4</v>
      </c>
      <c r="D19" s="12">
        <v>1800000</v>
      </c>
      <c r="E19" s="7">
        <f>D19 * (1 + 0.15)^-4</f>
        <v>1029155.8420674602</v>
      </c>
      <c r="I19" s="8"/>
    </row>
    <row r="20" spans="1:20" x14ac:dyDescent="0.3">
      <c r="B20" s="36"/>
      <c r="C20" s="2">
        <v>5</v>
      </c>
      <c r="D20" s="14">
        <v>1400000</v>
      </c>
      <c r="E20" s="7">
        <f>D20 * (1 + 0.15)^-5</f>
        <v>696047.42941760586</v>
      </c>
      <c r="I20" s="8" t="s">
        <v>33</v>
      </c>
      <c r="J20" s="1" t="s">
        <v>34</v>
      </c>
    </row>
    <row r="21" spans="1:20" x14ac:dyDescent="0.3">
      <c r="B21" s="2" t="s">
        <v>13</v>
      </c>
      <c r="C21" s="31"/>
      <c r="D21" s="33"/>
      <c r="E21" s="7">
        <f>SUM(E16:E20)</f>
        <v>4140589.1513239751</v>
      </c>
      <c r="I21" s="8"/>
      <c r="J21" s="16">
        <f>0.1 + (J5/(J5-J16))*(0.15-0.1)</f>
        <v>0.12112178701315547</v>
      </c>
    </row>
    <row r="22" spans="1:20" x14ac:dyDescent="0.3">
      <c r="I22" s="8"/>
    </row>
    <row r="23" spans="1:20" x14ac:dyDescent="0.3">
      <c r="E23" s="13"/>
    </row>
    <row r="25" spans="1:20" x14ac:dyDescent="0.3">
      <c r="A25" s="1" t="s">
        <v>19</v>
      </c>
      <c r="I25" s="8"/>
    </row>
    <row r="26" spans="1:20" x14ac:dyDescent="0.3">
      <c r="B26" s="17" t="s">
        <v>32</v>
      </c>
      <c r="C26" s="2"/>
      <c r="D26" s="2"/>
      <c r="E26" s="2"/>
      <c r="F26" s="2"/>
      <c r="I26" s="8"/>
    </row>
    <row r="27" spans="1:20" x14ac:dyDescent="0.3">
      <c r="B27" s="37"/>
      <c r="C27" s="4" t="s">
        <v>0</v>
      </c>
      <c r="D27" s="4" t="s">
        <v>1</v>
      </c>
      <c r="E27" s="4" t="s">
        <v>35</v>
      </c>
      <c r="F27" s="4" t="s">
        <v>38</v>
      </c>
      <c r="I27" s="8" t="s">
        <v>35</v>
      </c>
      <c r="J27" s="13" t="s">
        <v>36</v>
      </c>
    </row>
    <row r="28" spans="1:20" x14ac:dyDescent="0.3">
      <c r="B28" s="37"/>
      <c r="C28" s="2">
        <v>0</v>
      </c>
      <c r="D28" s="7">
        <v>-4500000</v>
      </c>
      <c r="E28" s="7">
        <f>D28</f>
        <v>-4500000</v>
      </c>
      <c r="F28" s="20">
        <f>D28</f>
        <v>-4500000</v>
      </c>
      <c r="I28" s="8" t="s">
        <v>37</v>
      </c>
      <c r="J28" s="1" t="s">
        <v>39</v>
      </c>
    </row>
    <row r="29" spans="1:20" x14ac:dyDescent="0.3">
      <c r="B29" s="37"/>
      <c r="C29" s="2">
        <v>1</v>
      </c>
      <c r="D29" s="7">
        <v>600000</v>
      </c>
      <c r="E29" s="18">
        <f>D29*(1+0.1)^-1</f>
        <v>545454.54545454541</v>
      </c>
      <c r="F29" s="19">
        <f>F28+E29</f>
        <v>-3954545.4545454546</v>
      </c>
      <c r="I29" s="8"/>
      <c r="J29" s="1" t="s">
        <v>40</v>
      </c>
    </row>
    <row r="30" spans="1:20" x14ac:dyDescent="0.3">
      <c r="B30" s="37"/>
      <c r="C30" s="2">
        <v>2</v>
      </c>
      <c r="D30" s="7">
        <v>1200000</v>
      </c>
      <c r="E30" s="7">
        <f>D30*(1+0.1)^-2</f>
        <v>991735.53719008248</v>
      </c>
      <c r="F30" s="7">
        <f>F29+E30</f>
        <v>-2962809.9173553721</v>
      </c>
      <c r="I30" s="8"/>
      <c r="J30" s="9">
        <f>C32+(ABS(F32)/E33)</f>
        <v>4.6975964285714298</v>
      </c>
    </row>
    <row r="31" spans="1:20" x14ac:dyDescent="0.3">
      <c r="B31" s="37"/>
      <c r="C31" s="2">
        <v>3</v>
      </c>
      <c r="D31" s="7">
        <v>1500000</v>
      </c>
      <c r="E31" s="7">
        <f>D31*(1+0.1)^-3</f>
        <v>1126972.2013523662</v>
      </c>
      <c r="F31" s="7">
        <f>F30+E31</f>
        <v>-1835837.7160030059</v>
      </c>
      <c r="I31" s="8"/>
    </row>
    <row r="32" spans="1:20" x14ac:dyDescent="0.3">
      <c r="B32" s="37"/>
      <c r="C32" s="2">
        <v>4</v>
      </c>
      <c r="D32" s="7">
        <v>1800000</v>
      </c>
      <c r="E32" s="7">
        <f>D32*(1+0.1)^-4</f>
        <v>1229424.219657127</v>
      </c>
      <c r="F32" s="7">
        <f>F31+E32</f>
        <v>-606413.49634587881</v>
      </c>
      <c r="I32" s="8"/>
      <c r="T32" s="13"/>
    </row>
    <row r="33" spans="1:20" x14ac:dyDescent="0.3">
      <c r="B33" s="37"/>
      <c r="C33" s="2">
        <v>5</v>
      </c>
      <c r="D33" s="7">
        <v>1400000</v>
      </c>
      <c r="E33" s="7">
        <f>D33*(1+0.1)^-5</f>
        <v>869289.85228281689</v>
      </c>
      <c r="F33" s="7">
        <f>F32+E33</f>
        <v>262876.35593693808</v>
      </c>
      <c r="I33" s="8"/>
      <c r="T33" s="13"/>
    </row>
    <row r="34" spans="1:20" x14ac:dyDescent="0.3">
      <c r="E34" s="13"/>
      <c r="I34" s="8"/>
    </row>
    <row r="35" spans="1:20" x14ac:dyDescent="0.3">
      <c r="I35" s="8"/>
    </row>
    <row r="36" spans="1:20" x14ac:dyDescent="0.3">
      <c r="I36" s="8"/>
    </row>
    <row r="37" spans="1:20" x14ac:dyDescent="0.3">
      <c r="I37" s="8"/>
    </row>
    <row r="38" spans="1:20" x14ac:dyDescent="0.3">
      <c r="A38" s="1" t="s">
        <v>41</v>
      </c>
      <c r="I38" s="8"/>
      <c r="J38" s="13"/>
    </row>
    <row r="39" spans="1:20" x14ac:dyDescent="0.3">
      <c r="B39" s="1" t="s">
        <v>48</v>
      </c>
      <c r="C39" s="1">
        <v>60</v>
      </c>
      <c r="I39" s="8"/>
    </row>
    <row r="40" spans="1:20" x14ac:dyDescent="0.3">
      <c r="B40" s="1" t="s">
        <v>42</v>
      </c>
      <c r="C40" s="1">
        <v>7.4999999999999997E-2</v>
      </c>
      <c r="I40" s="8"/>
    </row>
    <row r="41" spans="1:20" x14ac:dyDescent="0.3">
      <c r="B41" s="1" t="s">
        <v>43</v>
      </c>
      <c r="C41" s="1">
        <v>1000</v>
      </c>
      <c r="I41" s="8"/>
    </row>
    <row r="42" spans="1:20" x14ac:dyDescent="0.3">
      <c r="B42" s="1" t="s">
        <v>44</v>
      </c>
      <c r="C42" s="1">
        <v>8</v>
      </c>
      <c r="I42" s="8"/>
    </row>
    <row r="43" spans="1:20" x14ac:dyDescent="0.3">
      <c r="I43" s="8"/>
    </row>
    <row r="44" spans="1:20" x14ac:dyDescent="0.3">
      <c r="B44" s="1" t="s">
        <v>45</v>
      </c>
      <c r="F44" s="9">
        <f>C39*((1-(1+C40)^-C42)/C40)+C41/(1+C40)^C42</f>
        <v>912.14044667867597</v>
      </c>
      <c r="I44" s="8"/>
    </row>
    <row r="45" spans="1:20" x14ac:dyDescent="0.3">
      <c r="I45" s="8"/>
    </row>
    <row r="46" spans="1:20" x14ac:dyDescent="0.3">
      <c r="B46" s="15"/>
      <c r="I46" s="8"/>
    </row>
    <row r="47" spans="1:20" x14ac:dyDescent="0.3">
      <c r="I47" s="8"/>
      <c r="J47" s="13"/>
    </row>
    <row r="48" spans="1:20" x14ac:dyDescent="0.3">
      <c r="I48" s="8"/>
      <c r="J48" s="13"/>
    </row>
    <row r="49" spans="1:10" x14ac:dyDescent="0.3">
      <c r="A49" s="1" t="s">
        <v>46</v>
      </c>
      <c r="I49" s="8"/>
      <c r="J49" s="13"/>
    </row>
    <row r="50" spans="1:10" x14ac:dyDescent="0.3">
      <c r="B50" s="1" t="s">
        <v>47</v>
      </c>
      <c r="D50" s="7">
        <f>F44*50000</f>
        <v>45607022.3339338</v>
      </c>
      <c r="I50" s="8"/>
      <c r="J50" s="13"/>
    </row>
    <row r="51" spans="1:10" x14ac:dyDescent="0.3">
      <c r="I51" s="8"/>
      <c r="J51" s="13"/>
    </row>
    <row r="52" spans="1:10" x14ac:dyDescent="0.3">
      <c r="I52" s="8"/>
    </row>
    <row r="53" spans="1:10" x14ac:dyDescent="0.3">
      <c r="B53" s="15"/>
      <c r="I53" s="8"/>
      <c r="J53" s="16"/>
    </row>
    <row r="54" spans="1:10" x14ac:dyDescent="0.3">
      <c r="A54" s="1" t="s">
        <v>49</v>
      </c>
      <c r="I54" s="8"/>
    </row>
    <row r="55" spans="1:10" x14ac:dyDescent="0.3">
      <c r="B55" s="1" t="s">
        <v>50</v>
      </c>
      <c r="D55" s="1" t="s">
        <v>51</v>
      </c>
      <c r="E55" s="1">
        <f>50000000/20000000</f>
        <v>2.5</v>
      </c>
      <c r="F55" s="1" t="s">
        <v>52</v>
      </c>
      <c r="I55" s="8"/>
    </row>
    <row r="56" spans="1:10" x14ac:dyDescent="0.3">
      <c r="B56" s="1" t="s">
        <v>53</v>
      </c>
      <c r="D56" s="1" t="s">
        <v>54</v>
      </c>
      <c r="E56" s="1">
        <f>E55*40%</f>
        <v>1</v>
      </c>
      <c r="F56" s="1" t="s">
        <v>52</v>
      </c>
      <c r="I56" s="8"/>
    </row>
    <row r="57" spans="1:10" x14ac:dyDescent="0.3">
      <c r="B57" s="1" t="s">
        <v>55</v>
      </c>
      <c r="D57" s="21" t="s">
        <v>56</v>
      </c>
      <c r="E57" s="22">
        <f>1/15</f>
        <v>6.6666666666666666E-2</v>
      </c>
      <c r="I57" s="8"/>
      <c r="J57" s="13"/>
    </row>
    <row r="58" spans="1:10" x14ac:dyDescent="0.3">
      <c r="I58" s="8"/>
      <c r="J58" s="13"/>
    </row>
    <row r="59" spans="1:10" x14ac:dyDescent="0.3">
      <c r="A59" s="1" t="s">
        <v>57</v>
      </c>
      <c r="I59" s="8"/>
      <c r="J59" s="13"/>
    </row>
    <row r="60" spans="1:10" x14ac:dyDescent="0.3">
      <c r="B60" s="1" t="s">
        <v>58</v>
      </c>
      <c r="D60" s="23" t="s">
        <v>59</v>
      </c>
      <c r="E60" s="1">
        <f>E55*60%</f>
        <v>1.5</v>
      </c>
      <c r="F60" s="1" t="s">
        <v>52</v>
      </c>
      <c r="I60" s="8"/>
      <c r="J60" s="13"/>
    </row>
    <row r="61" spans="1:10" x14ac:dyDescent="0.3">
      <c r="B61" s="1" t="s">
        <v>60</v>
      </c>
      <c r="E61" s="38" t="s">
        <v>62</v>
      </c>
      <c r="F61" s="39">
        <f>D62/(0.12-0.08)</f>
        <v>40.500000000000007</v>
      </c>
      <c r="I61" s="8"/>
      <c r="J61" s="13"/>
    </row>
    <row r="62" spans="1:10" x14ac:dyDescent="0.3">
      <c r="B62" s="1" t="s">
        <v>61</v>
      </c>
      <c r="D62" s="1">
        <f>E60*(1+0.08)</f>
        <v>1.62</v>
      </c>
      <c r="E62" s="39"/>
      <c r="F62" s="39"/>
      <c r="I62" s="8"/>
    </row>
    <row r="63" spans="1:10" x14ac:dyDescent="0.3">
      <c r="B63" s="15"/>
      <c r="I63" s="8"/>
      <c r="J63" s="16"/>
    </row>
    <row r="64" spans="1:10" x14ac:dyDescent="0.3">
      <c r="I64" s="8"/>
    </row>
    <row r="65" spans="9:9" x14ac:dyDescent="0.3">
      <c r="I65" s="8"/>
    </row>
    <row r="66" spans="9:9" x14ac:dyDescent="0.3">
      <c r="I66" s="8"/>
    </row>
    <row r="67" spans="9:9" x14ac:dyDescent="0.3">
      <c r="I67" s="8"/>
    </row>
    <row r="68" spans="9:9" x14ac:dyDescent="0.3">
      <c r="I68" s="8"/>
    </row>
    <row r="69" spans="9:9" x14ac:dyDescent="0.3">
      <c r="I69" s="8"/>
    </row>
    <row r="70" spans="9:9" x14ac:dyDescent="0.3">
      <c r="I70" s="8"/>
    </row>
    <row r="71" spans="9:9" x14ac:dyDescent="0.3">
      <c r="I71" s="8"/>
    </row>
    <row r="72" spans="9:9" x14ac:dyDescent="0.3">
      <c r="I72" s="8"/>
    </row>
    <row r="73" spans="9:9" x14ac:dyDescent="0.3">
      <c r="I73" s="8"/>
    </row>
    <row r="74" spans="9:9" x14ac:dyDescent="0.3">
      <c r="I74" s="8"/>
    </row>
    <row r="75" spans="9:9" x14ac:dyDescent="0.3">
      <c r="I75" s="8"/>
    </row>
    <row r="76" spans="9:9" x14ac:dyDescent="0.3">
      <c r="I76" s="8"/>
    </row>
    <row r="77" spans="9:9" x14ac:dyDescent="0.3">
      <c r="I77" s="8"/>
    </row>
    <row r="78" spans="9:9" x14ac:dyDescent="0.3">
      <c r="I78" s="8"/>
    </row>
    <row r="79" spans="9:9" x14ac:dyDescent="0.3">
      <c r="I79" s="8"/>
    </row>
    <row r="80" spans="9:9" x14ac:dyDescent="0.3">
      <c r="I80" s="8"/>
    </row>
    <row r="81" spans="9:9" x14ac:dyDescent="0.3">
      <c r="I81" s="8"/>
    </row>
    <row r="82" spans="9:9" x14ac:dyDescent="0.3">
      <c r="I82" s="8"/>
    </row>
    <row r="83" spans="9:9" x14ac:dyDescent="0.3">
      <c r="I83" s="8"/>
    </row>
  </sheetData>
  <mergeCells count="9">
    <mergeCell ref="C21:D21"/>
    <mergeCell ref="B27:B33"/>
    <mergeCell ref="E61:E62"/>
    <mergeCell ref="F61:F62"/>
    <mergeCell ref="C3:E3"/>
    <mergeCell ref="B4:B9"/>
    <mergeCell ref="C10:D10"/>
    <mergeCell ref="C14:E14"/>
    <mergeCell ref="B15:B2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Mock 1</vt:lpstr>
      <vt:lpstr>Mock 2</vt:lpstr>
      <vt:lpstr>Mock Test 3</vt:lpstr>
      <vt:lpstr>Mock Test 4</vt:lpstr>
      <vt:lpstr>Mock Test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 Nguyen</dc:creator>
  <cp:lastModifiedBy>Binh Nguyen</cp:lastModifiedBy>
  <dcterms:created xsi:type="dcterms:W3CDTF">2026-04-19T02:19:14Z</dcterms:created>
  <dcterms:modified xsi:type="dcterms:W3CDTF">2026-04-19T14:50:20Z</dcterms:modified>
</cp:coreProperties>
</file>